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426" codeName="{0EBEE25D-5E30-3CCF-7B8A-937B5088EA05}"/>
  <workbookPr codeName="Ten_skoroszyt" defaultThemeVersion="124226"/>
  <mc:AlternateContent xmlns:mc="http://schemas.openxmlformats.org/markup-compatibility/2006">
    <mc:Choice Requires="x15">
      <x15ac:absPath xmlns:x15ac="http://schemas.microsoft.com/office/spreadsheetml/2010/11/ac" url="C:\Users\Theodor Nitu\Desktop\"/>
    </mc:Choice>
  </mc:AlternateContent>
  <bookViews>
    <workbookView xWindow="0" yWindow="0" windowWidth="20490" windowHeight="7530"/>
  </bookViews>
  <sheets>
    <sheet name="By Boolean" sheetId="14" r:id="rId1"/>
    <sheet name="By Integer" sheetId="7" r:id="rId2"/>
    <sheet name="Clickable" sheetId="8" r:id="rId3"/>
  </sheets>
  <calcPr calcId="171027"/>
</workbook>
</file>

<file path=xl/calcChain.xml><?xml version="1.0" encoding="utf-8"?>
<calcChain xmlns="http://schemas.openxmlformats.org/spreadsheetml/2006/main">
  <c r="R85" i="14" l="1"/>
  <c r="Q85" i="14"/>
  <c r="P85" i="14"/>
  <c r="O85" i="14"/>
  <c r="N85" i="14"/>
  <c r="F85" i="14"/>
  <c r="E85" i="14"/>
  <c r="D85" i="14"/>
  <c r="C85" i="14"/>
  <c r="B85" i="14"/>
  <c r="R84" i="14"/>
  <c r="Q84" i="14"/>
  <c r="P84" i="14"/>
  <c r="O84" i="14"/>
  <c r="N84" i="14"/>
  <c r="F84" i="14"/>
  <c r="E84" i="14"/>
  <c r="D84" i="14"/>
  <c r="C84" i="14"/>
  <c r="B84" i="14"/>
  <c r="R83" i="14"/>
  <c r="Q83" i="14"/>
  <c r="P83" i="14"/>
  <c r="O83" i="14"/>
  <c r="E83" i="14"/>
  <c r="D83" i="14"/>
  <c r="C83" i="14"/>
  <c r="B83" i="14"/>
  <c r="R82" i="14"/>
  <c r="Q82" i="14"/>
  <c r="P82" i="14"/>
  <c r="D82" i="14"/>
  <c r="C82" i="14"/>
  <c r="B82" i="14"/>
  <c r="R81" i="14"/>
  <c r="Q81" i="14"/>
  <c r="C81" i="14"/>
  <c r="B81" i="14"/>
  <c r="R80" i="14"/>
  <c r="B80" i="14"/>
  <c r="L76" i="14"/>
  <c r="K76" i="14"/>
  <c r="J76" i="14"/>
  <c r="I76" i="14"/>
  <c r="H76" i="14"/>
  <c r="L75" i="14"/>
  <c r="K75" i="14"/>
  <c r="J75" i="14"/>
  <c r="I75" i="14"/>
  <c r="H75" i="14"/>
  <c r="L74" i="14"/>
  <c r="K74" i="14"/>
  <c r="J74" i="14"/>
  <c r="I74" i="14"/>
  <c r="H74" i="14"/>
  <c r="L73" i="14"/>
  <c r="K73" i="14"/>
  <c r="J73" i="14"/>
  <c r="I73" i="14"/>
  <c r="H73" i="14"/>
  <c r="L67" i="14"/>
  <c r="K67" i="14"/>
  <c r="J67" i="14"/>
  <c r="I67" i="14"/>
  <c r="H67" i="14"/>
  <c r="L66" i="14"/>
  <c r="K66" i="14"/>
  <c r="J66" i="14"/>
  <c r="I66" i="14"/>
  <c r="H66" i="14"/>
  <c r="L65" i="14"/>
  <c r="K65" i="14"/>
  <c r="J65" i="14"/>
  <c r="I65" i="14"/>
  <c r="H65" i="14"/>
  <c r="L64" i="14"/>
  <c r="K64" i="14"/>
  <c r="J64" i="14"/>
  <c r="I64" i="14"/>
  <c r="H64" i="14"/>
  <c r="R62" i="14"/>
  <c r="R61" i="14"/>
  <c r="Q61" i="14"/>
  <c r="C61" i="14"/>
  <c r="B61" i="14"/>
  <c r="R60" i="14"/>
  <c r="Q60" i="14"/>
  <c r="P60" i="14"/>
  <c r="D60" i="14"/>
  <c r="C60" i="14"/>
  <c r="B60" i="14"/>
  <c r="H27" i="14"/>
  <c r="D3" i="14"/>
  <c r="C3" i="14"/>
  <c r="B3" i="14"/>
  <c r="B4" i="14"/>
  <c r="C4" i="14"/>
  <c r="R28" i="14"/>
  <c r="Q28" i="14"/>
  <c r="P28" i="14"/>
  <c r="O28" i="14"/>
  <c r="N28" i="14"/>
  <c r="F28" i="14"/>
  <c r="E28" i="14"/>
  <c r="D28" i="14"/>
  <c r="C28" i="14"/>
  <c r="B28" i="14"/>
  <c r="R27" i="14"/>
  <c r="Q27" i="14"/>
  <c r="P27" i="14"/>
  <c r="O27" i="14"/>
  <c r="N27" i="14"/>
  <c r="F27" i="14"/>
  <c r="E27" i="14"/>
  <c r="D27" i="14"/>
  <c r="C27" i="14"/>
  <c r="B27" i="14"/>
  <c r="R26" i="14"/>
  <c r="Q26" i="14"/>
  <c r="P26" i="14"/>
  <c r="O26" i="14"/>
  <c r="E26" i="14"/>
  <c r="D26" i="14"/>
  <c r="C26" i="14"/>
  <c r="B26" i="14"/>
  <c r="R25" i="14"/>
  <c r="Q25" i="14"/>
  <c r="P25" i="14"/>
  <c r="D25" i="14"/>
  <c r="C25" i="14"/>
  <c r="B25" i="14"/>
  <c r="R24" i="14"/>
  <c r="Q24" i="14"/>
  <c r="C24" i="14"/>
  <c r="B24" i="14"/>
  <c r="R23" i="14"/>
  <c r="B23" i="14"/>
  <c r="L19" i="14"/>
  <c r="K19" i="14"/>
  <c r="J19" i="14"/>
  <c r="I19" i="14"/>
  <c r="H19" i="14"/>
  <c r="L18" i="14"/>
  <c r="K18" i="14"/>
  <c r="J18" i="14"/>
  <c r="I18" i="14"/>
  <c r="H18" i="14"/>
  <c r="L17" i="14"/>
  <c r="K17" i="14"/>
  <c r="J17" i="14"/>
  <c r="I17" i="14"/>
  <c r="H17" i="14"/>
  <c r="L16" i="14"/>
  <c r="K16" i="14"/>
  <c r="J16" i="14"/>
  <c r="I16" i="14"/>
  <c r="H16" i="14"/>
  <c r="L10" i="14"/>
  <c r="K10" i="14"/>
  <c r="J10" i="14"/>
  <c r="I10" i="14"/>
  <c r="H10" i="14"/>
  <c r="L9" i="14"/>
  <c r="K9" i="14"/>
  <c r="J9" i="14"/>
  <c r="I9" i="14"/>
  <c r="H9" i="14"/>
  <c r="L8" i="14"/>
  <c r="K8" i="14"/>
  <c r="J8" i="14"/>
  <c r="I8" i="14"/>
  <c r="H8" i="14"/>
  <c r="L7" i="14"/>
  <c r="K7" i="14"/>
  <c r="J7" i="14"/>
  <c r="I7" i="14"/>
  <c r="H7" i="14"/>
  <c r="R5" i="14"/>
  <c r="R4" i="14"/>
  <c r="Q4" i="14"/>
  <c r="R3" i="14"/>
  <c r="Q3" i="14"/>
  <c r="P3" i="14"/>
  <c r="H3" i="7" l="1"/>
  <c r="I3" i="7"/>
  <c r="J3" i="7"/>
  <c r="K3" i="7"/>
  <c r="L3" i="7"/>
  <c r="N3" i="7"/>
  <c r="O3" i="7"/>
  <c r="P3" i="7"/>
  <c r="Q3" i="7"/>
  <c r="R3" i="7"/>
  <c r="H4" i="7"/>
  <c r="I4" i="7"/>
  <c r="J4" i="7"/>
  <c r="K4" i="7"/>
  <c r="L4" i="7"/>
  <c r="N4" i="7"/>
  <c r="O4" i="7"/>
  <c r="P4" i="7"/>
  <c r="Q4" i="7"/>
  <c r="R4" i="7"/>
  <c r="H5" i="7"/>
  <c r="I5" i="7"/>
  <c r="J5" i="7"/>
  <c r="K5" i="7"/>
  <c r="L5" i="7"/>
  <c r="N5" i="7"/>
  <c r="O5" i="7"/>
  <c r="P5" i="7"/>
  <c r="Q5" i="7"/>
  <c r="R5" i="7"/>
  <c r="H6" i="7"/>
  <c r="I6" i="7"/>
  <c r="J6" i="7"/>
  <c r="K6" i="7"/>
  <c r="L6" i="7"/>
  <c r="N6" i="7"/>
  <c r="O6" i="7"/>
  <c r="P6" i="7"/>
  <c r="Q6" i="7"/>
  <c r="R6" i="7"/>
  <c r="H7" i="7"/>
  <c r="I7" i="7"/>
  <c r="J7" i="7"/>
  <c r="K7" i="7"/>
  <c r="L7" i="7"/>
  <c r="N7" i="7"/>
  <c r="O7" i="7"/>
  <c r="P7" i="7"/>
  <c r="Q7" i="7"/>
  <c r="R7" i="7"/>
  <c r="H8" i="7"/>
  <c r="I8" i="7"/>
  <c r="J8" i="7"/>
  <c r="K8" i="7"/>
  <c r="L8" i="7"/>
  <c r="N8" i="7"/>
  <c r="O8" i="7"/>
  <c r="P8" i="7"/>
  <c r="Q8" i="7"/>
  <c r="R8" i="7"/>
  <c r="H9" i="7"/>
  <c r="I9" i="7"/>
  <c r="J9" i="7"/>
  <c r="K9" i="7"/>
  <c r="L9" i="7"/>
  <c r="N9" i="7"/>
  <c r="O9" i="7"/>
  <c r="P9" i="7"/>
  <c r="Q9" i="7"/>
  <c r="R9" i="7"/>
  <c r="H10" i="7"/>
  <c r="I10" i="7"/>
  <c r="J10" i="7"/>
  <c r="K10" i="7"/>
  <c r="L10" i="7"/>
  <c r="N10" i="7"/>
  <c r="O10" i="7"/>
  <c r="P10" i="7"/>
  <c r="Q10" i="7"/>
  <c r="R10" i="7"/>
  <c r="B12" i="7"/>
  <c r="C12" i="7"/>
  <c r="D12" i="7"/>
  <c r="E12" i="7"/>
  <c r="F12" i="7"/>
  <c r="H12" i="7"/>
  <c r="I12" i="7"/>
  <c r="J12" i="7"/>
  <c r="K12" i="7"/>
  <c r="L12" i="7"/>
  <c r="N12" i="7"/>
  <c r="O12" i="7"/>
  <c r="P12" i="7"/>
  <c r="Q12" i="7"/>
  <c r="R12" i="7"/>
  <c r="B13" i="7"/>
  <c r="C13" i="7"/>
  <c r="D13" i="7"/>
  <c r="E13" i="7"/>
  <c r="F13" i="7"/>
  <c r="H13" i="7"/>
  <c r="I13" i="7"/>
  <c r="J13" i="7"/>
  <c r="K13" i="7"/>
  <c r="L13" i="7"/>
  <c r="N13" i="7"/>
  <c r="O13" i="7"/>
  <c r="P13" i="7"/>
  <c r="Q13" i="7"/>
  <c r="R13" i="7"/>
  <c r="B14" i="7"/>
  <c r="C14" i="7"/>
  <c r="D14" i="7"/>
  <c r="E14" i="7"/>
  <c r="F14" i="7"/>
  <c r="H14" i="7"/>
  <c r="I14" i="7"/>
  <c r="J14" i="7"/>
  <c r="K14" i="7"/>
  <c r="L14" i="7"/>
  <c r="N14" i="7"/>
  <c r="O14" i="7"/>
  <c r="P14" i="7"/>
  <c r="Q14" i="7"/>
  <c r="R14" i="7"/>
  <c r="B15" i="7"/>
  <c r="C15" i="7"/>
  <c r="D15" i="7"/>
  <c r="E15" i="7"/>
  <c r="F15" i="7"/>
  <c r="H15" i="7"/>
  <c r="I15" i="7"/>
  <c r="J15" i="7"/>
  <c r="K15" i="7"/>
  <c r="L15" i="7"/>
  <c r="N15" i="7"/>
  <c r="O15" i="7"/>
  <c r="P15" i="7"/>
  <c r="Q15" i="7"/>
  <c r="R15" i="7"/>
  <c r="B16" i="7"/>
  <c r="C16" i="7"/>
  <c r="D16" i="7"/>
  <c r="E16" i="7"/>
  <c r="F16" i="7"/>
  <c r="H16" i="7"/>
  <c r="I16" i="7"/>
  <c r="J16" i="7"/>
  <c r="K16" i="7"/>
  <c r="L16" i="7"/>
  <c r="N16" i="7"/>
  <c r="O16" i="7"/>
  <c r="P16" i="7"/>
  <c r="Q16" i="7"/>
  <c r="R16" i="7"/>
  <c r="B17" i="7"/>
  <c r="C17" i="7"/>
  <c r="D17" i="7"/>
  <c r="E17" i="7"/>
  <c r="F17" i="7"/>
  <c r="H17" i="7"/>
  <c r="I17" i="7"/>
  <c r="J17" i="7"/>
  <c r="K17" i="7"/>
  <c r="L17" i="7"/>
  <c r="N17" i="7"/>
  <c r="O17" i="7"/>
  <c r="P17" i="7"/>
  <c r="Q17" i="7"/>
  <c r="R17" i="7"/>
  <c r="B18" i="7"/>
  <c r="C18" i="7"/>
  <c r="D18" i="7"/>
  <c r="E18" i="7"/>
  <c r="F18" i="7"/>
  <c r="H18" i="7"/>
  <c r="I18" i="7"/>
  <c r="J18" i="7"/>
  <c r="K18" i="7"/>
  <c r="L18" i="7"/>
  <c r="N18" i="7"/>
  <c r="O18" i="7"/>
  <c r="P18" i="7"/>
  <c r="Q18" i="7"/>
  <c r="R18" i="7"/>
  <c r="B19" i="7"/>
  <c r="C19" i="7"/>
  <c r="D19" i="7"/>
  <c r="E19" i="7"/>
  <c r="F19" i="7"/>
  <c r="H19" i="7"/>
  <c r="I19" i="7"/>
  <c r="J19" i="7"/>
  <c r="K19" i="7"/>
  <c r="L19" i="7"/>
  <c r="N19" i="7"/>
  <c r="O19" i="7"/>
  <c r="P19" i="7"/>
  <c r="Q19" i="7"/>
  <c r="R19" i="7"/>
  <c r="X3" i="7"/>
  <c r="B3" i="7" s="1"/>
  <c r="Y3" i="7"/>
  <c r="C3" i="7" s="1"/>
  <c r="Z3" i="7"/>
  <c r="D3" i="7" s="1"/>
  <c r="AA3" i="7"/>
  <c r="E3" i="7" s="1"/>
  <c r="AB3" i="7"/>
  <c r="F3" i="7" s="1"/>
  <c r="X4" i="7"/>
  <c r="B4" i="7" s="1"/>
  <c r="Y4" i="7"/>
  <c r="C4" i="7" s="1"/>
  <c r="Z4" i="7"/>
  <c r="D4" i="7" s="1"/>
  <c r="AA4" i="7"/>
  <c r="E4" i="7" s="1"/>
  <c r="AB4" i="7"/>
  <c r="F4" i="7" s="1"/>
  <c r="X5" i="7"/>
  <c r="B5" i="7" s="1"/>
  <c r="Y5" i="7"/>
  <c r="C5" i="7" s="1"/>
  <c r="Z5" i="7"/>
  <c r="D5" i="7" s="1"/>
  <c r="AA5" i="7"/>
  <c r="E5" i="7" s="1"/>
  <c r="AB5" i="7"/>
  <c r="F5" i="7" s="1"/>
  <c r="X6" i="7"/>
  <c r="B6" i="7" s="1"/>
  <c r="Y6" i="7"/>
  <c r="C6" i="7" s="1"/>
  <c r="Z6" i="7"/>
  <c r="D6" i="7" s="1"/>
  <c r="AA6" i="7"/>
  <c r="E6" i="7" s="1"/>
  <c r="AB6" i="7"/>
  <c r="F6" i="7" s="1"/>
  <c r="X7" i="7"/>
  <c r="B7" i="7" s="1"/>
  <c r="Y7" i="7"/>
  <c r="C7" i="7" s="1"/>
  <c r="Z7" i="7"/>
  <c r="D7" i="7" s="1"/>
  <c r="AA7" i="7"/>
  <c r="E7" i="7" s="1"/>
  <c r="AB7" i="7"/>
  <c r="F7" i="7" s="1"/>
  <c r="X8" i="7"/>
  <c r="B8" i="7" s="1"/>
  <c r="Y8" i="7"/>
  <c r="C8" i="7" s="1"/>
  <c r="Z8" i="7"/>
  <c r="D8" i="7" s="1"/>
  <c r="AA8" i="7"/>
  <c r="E8" i="7" s="1"/>
  <c r="AB8" i="7"/>
  <c r="F8" i="7" s="1"/>
  <c r="X9" i="7"/>
  <c r="B9" i="7" s="1"/>
  <c r="Y9" i="7"/>
  <c r="C9" i="7" s="1"/>
  <c r="Z9" i="7"/>
  <c r="D9" i="7" s="1"/>
  <c r="AA9" i="7"/>
  <c r="E9" i="7" s="1"/>
  <c r="AB9" i="7"/>
  <c r="F9" i="7" s="1"/>
  <c r="X10" i="7"/>
  <c r="B10" i="7" s="1"/>
  <c r="Y10" i="7"/>
  <c r="C10" i="7" s="1"/>
  <c r="Z10" i="7"/>
  <c r="D10" i="7" s="1"/>
  <c r="AA10" i="7"/>
  <c r="E10" i="7" s="1"/>
  <c r="AB10" i="7"/>
  <c r="F10" i="7" s="1"/>
  <c r="X12" i="7"/>
  <c r="Y12" i="7"/>
  <c r="Z12" i="7"/>
  <c r="AA12" i="7"/>
  <c r="AB12" i="7"/>
  <c r="X13" i="7"/>
  <c r="Y13" i="7"/>
  <c r="Z13" i="7"/>
  <c r="AA13" i="7"/>
  <c r="AB13" i="7"/>
  <c r="X14" i="7"/>
  <c r="Y14" i="7"/>
  <c r="Z14" i="7"/>
  <c r="AA14" i="7"/>
  <c r="AB14" i="7"/>
  <c r="X15" i="7"/>
  <c r="Y15" i="7"/>
  <c r="Z15" i="7"/>
  <c r="AA15" i="7"/>
  <c r="AB15" i="7"/>
  <c r="X16" i="7"/>
  <c r="Y16" i="7"/>
  <c r="Z16" i="7"/>
  <c r="AA16" i="7"/>
  <c r="AB16" i="7"/>
  <c r="X17" i="7"/>
  <c r="Y17" i="7"/>
  <c r="Z17" i="7"/>
  <c r="AA17" i="7"/>
  <c r="AB17" i="7"/>
  <c r="X18" i="7"/>
  <c r="Y18" i="7"/>
  <c r="Z18" i="7"/>
  <c r="AA18" i="7"/>
  <c r="AB18" i="7"/>
  <c r="X19" i="7"/>
  <c r="Y19" i="7"/>
  <c r="Z19" i="7"/>
  <c r="AA19" i="7"/>
  <c r="AB19" i="7"/>
  <c r="AJ22" i="7"/>
  <c r="AK22" i="7"/>
  <c r="AL22" i="7"/>
  <c r="AM22" i="7"/>
  <c r="AN22" i="7"/>
  <c r="AJ23" i="7"/>
  <c r="AK23" i="7"/>
  <c r="AL23" i="7"/>
  <c r="AM23" i="7"/>
  <c r="AN23" i="7"/>
  <c r="AJ24" i="7"/>
  <c r="AK24" i="7"/>
  <c r="AL24" i="7"/>
  <c r="AM24" i="7"/>
  <c r="AN24" i="7"/>
  <c r="AJ25" i="7"/>
  <c r="AK25" i="7"/>
  <c r="AL25" i="7"/>
  <c r="AM25" i="7"/>
  <c r="AN25" i="7"/>
  <c r="AJ26" i="7"/>
  <c r="AK26" i="7"/>
  <c r="AL26" i="7"/>
  <c r="AM26" i="7"/>
  <c r="AN26" i="7"/>
  <c r="AJ27" i="7"/>
  <c r="AK27" i="7"/>
  <c r="AL27" i="7"/>
  <c r="AM27" i="7"/>
  <c r="AN27" i="7"/>
  <c r="AJ28" i="7"/>
  <c r="AK28" i="7"/>
  <c r="AL28" i="7"/>
  <c r="AM28" i="7"/>
  <c r="AN28" i="7"/>
  <c r="AK21" i="7"/>
  <c r="AL21" i="7"/>
  <c r="AM21" i="7"/>
  <c r="AN21" i="7"/>
  <c r="AJ21" i="7"/>
  <c r="AD21" i="7"/>
  <c r="AJ22" i="14"/>
  <c r="AK22" i="14"/>
  <c r="AL22" i="14"/>
  <c r="AM22" i="14"/>
  <c r="AN22" i="14"/>
  <c r="AJ23" i="14"/>
  <c r="AK23" i="14"/>
  <c r="AL23" i="14"/>
  <c r="AM23" i="14"/>
  <c r="AN23" i="14"/>
  <c r="AJ24" i="14"/>
  <c r="AK24" i="14"/>
  <c r="AL24" i="14"/>
  <c r="AM24" i="14"/>
  <c r="AN24" i="14"/>
  <c r="AJ25" i="14"/>
  <c r="AK25" i="14"/>
  <c r="AL25" i="14"/>
  <c r="AM25" i="14"/>
  <c r="AN25" i="14"/>
  <c r="AJ26" i="14"/>
  <c r="AK26" i="14"/>
  <c r="AL26" i="14"/>
  <c r="AM26" i="14"/>
  <c r="AN26" i="14"/>
  <c r="AJ27" i="14"/>
  <c r="AK27" i="14"/>
  <c r="AL27" i="14"/>
  <c r="AM27" i="14"/>
  <c r="AN27" i="14"/>
  <c r="AJ28" i="14"/>
  <c r="AK28" i="14"/>
  <c r="AL28" i="14"/>
  <c r="AM28" i="14"/>
  <c r="AN28" i="14"/>
  <c r="AN21" i="14"/>
  <c r="AM21" i="14"/>
  <c r="AL21" i="14"/>
  <c r="AK21" i="14"/>
  <c r="AJ21" i="14"/>
  <c r="AD21" i="14"/>
  <c r="R23" i="8"/>
  <c r="Q24" i="8"/>
  <c r="R24" i="8"/>
  <c r="P25" i="8"/>
  <c r="Q25" i="8"/>
  <c r="R25" i="8"/>
  <c r="O26" i="8"/>
  <c r="P26" i="8"/>
  <c r="Q26" i="8"/>
  <c r="R26" i="8"/>
  <c r="N27" i="8"/>
  <c r="O27" i="8"/>
  <c r="P27" i="8"/>
  <c r="Q27" i="8"/>
  <c r="R27" i="8"/>
  <c r="N28" i="8"/>
  <c r="O28" i="8"/>
  <c r="P28" i="8"/>
  <c r="Q28" i="8"/>
  <c r="R28" i="8"/>
  <c r="H27" i="8"/>
  <c r="L27" i="8"/>
  <c r="H28" i="8"/>
  <c r="I28" i="8"/>
  <c r="K28" i="8"/>
  <c r="L28" i="8"/>
  <c r="B23" i="8"/>
  <c r="B24" i="8"/>
  <c r="C24" i="8"/>
  <c r="B25" i="8"/>
  <c r="C25" i="8"/>
  <c r="D25" i="8"/>
  <c r="B26" i="8"/>
  <c r="C26" i="8"/>
  <c r="D26" i="8"/>
  <c r="E26" i="8"/>
  <c r="B27" i="8"/>
  <c r="C27" i="8"/>
  <c r="D27" i="8"/>
  <c r="E27" i="8"/>
  <c r="F27" i="8"/>
  <c r="B28" i="8"/>
  <c r="C28" i="8"/>
  <c r="D28" i="8"/>
  <c r="E28" i="8"/>
  <c r="F28" i="8"/>
  <c r="H16" i="8"/>
  <c r="I16" i="8"/>
  <c r="J16" i="8"/>
  <c r="K16" i="8"/>
  <c r="L16" i="8"/>
  <c r="H17" i="8"/>
  <c r="I17" i="8"/>
  <c r="J17" i="8"/>
  <c r="K17" i="8"/>
  <c r="L17" i="8"/>
  <c r="H18" i="8"/>
  <c r="I18" i="8"/>
  <c r="J18" i="8"/>
  <c r="K18" i="8"/>
  <c r="L18" i="8"/>
  <c r="H19" i="8"/>
  <c r="I19" i="8"/>
  <c r="J19" i="8"/>
  <c r="K19" i="8"/>
  <c r="L19" i="8"/>
  <c r="Q4" i="8"/>
  <c r="R4" i="8"/>
  <c r="R5" i="8"/>
  <c r="P3" i="8"/>
  <c r="Q3" i="8"/>
  <c r="R3" i="8"/>
  <c r="H7" i="8"/>
  <c r="I7" i="8"/>
  <c r="J7" i="8"/>
  <c r="K7" i="8"/>
  <c r="L7" i="8"/>
  <c r="H8" i="8"/>
  <c r="I8" i="8"/>
  <c r="J8" i="8"/>
  <c r="K8" i="8"/>
  <c r="L8" i="8"/>
  <c r="H9" i="8"/>
  <c r="I9" i="8"/>
  <c r="J9" i="8"/>
  <c r="K9" i="8"/>
  <c r="L9" i="8"/>
  <c r="H10" i="8"/>
  <c r="I10" i="8"/>
  <c r="J10" i="8"/>
  <c r="K10" i="8"/>
  <c r="L10" i="8"/>
  <c r="B3" i="8"/>
  <c r="B4" i="8"/>
  <c r="C4" i="8"/>
  <c r="C3" i="8"/>
  <c r="D3" i="8"/>
  <c r="V21" i="8"/>
  <c r="V22" i="8"/>
  <c r="V23" i="8"/>
  <c r="V24" i="8"/>
  <c r="V25" i="8"/>
  <c r="V26" i="8"/>
  <c r="V27" i="8"/>
  <c r="V28" i="8"/>
  <c r="AR21" i="8"/>
  <c r="AR22" i="8"/>
  <c r="AR23" i="8"/>
  <c r="AR24" i="8"/>
  <c r="AR25" i="8"/>
  <c r="AR26" i="8"/>
  <c r="AR27" i="8"/>
  <c r="AR28" i="8"/>
  <c r="AJ12" i="7"/>
  <c r="AD3" i="7"/>
  <c r="AA9" i="14"/>
  <c r="AD22" i="7"/>
  <c r="AE22" i="7"/>
  <c r="AF22" i="7"/>
  <c r="AG22" i="7"/>
  <c r="AH22" i="7"/>
  <c r="AD23" i="7"/>
  <c r="AE23" i="7"/>
  <c r="AF23" i="7"/>
  <c r="AG23" i="7"/>
  <c r="AH23" i="7"/>
  <c r="AD24" i="7"/>
  <c r="AE24" i="7"/>
  <c r="AF24" i="7"/>
  <c r="AG24" i="7"/>
  <c r="AH24" i="7"/>
  <c r="AD25" i="7"/>
  <c r="AE25" i="7"/>
  <c r="AF25" i="7"/>
  <c r="AG25" i="7"/>
  <c r="AH25" i="7"/>
  <c r="AD26" i="7"/>
  <c r="AE26" i="7"/>
  <c r="AF26" i="7"/>
  <c r="AG26" i="7"/>
  <c r="AH26" i="7"/>
  <c r="AD27" i="7"/>
  <c r="AE27" i="7"/>
  <c r="AF27" i="7"/>
  <c r="AG27" i="7"/>
  <c r="AH27" i="7"/>
  <c r="AD28" i="7"/>
  <c r="AE28" i="7"/>
  <c r="AF28" i="7"/>
  <c r="AG28" i="7"/>
  <c r="AH28" i="7"/>
  <c r="AE21" i="7"/>
  <c r="AF21" i="7"/>
  <c r="AG21" i="7"/>
  <c r="AH21" i="7"/>
  <c r="AD12" i="7"/>
  <c r="X22" i="7"/>
  <c r="Y22" i="7"/>
  <c r="Z22" i="7"/>
  <c r="AA22" i="7"/>
  <c r="AB22" i="7"/>
  <c r="X23" i="7"/>
  <c r="Y23" i="7"/>
  <c r="Z23" i="7"/>
  <c r="AA23" i="7"/>
  <c r="AB23" i="7"/>
  <c r="X24" i="7"/>
  <c r="Y24" i="7"/>
  <c r="Z24" i="7"/>
  <c r="AA24" i="7"/>
  <c r="AB24" i="7"/>
  <c r="X25" i="7"/>
  <c r="Y25" i="7"/>
  <c r="Z25" i="7"/>
  <c r="AA25" i="7"/>
  <c r="AB25" i="7"/>
  <c r="X26" i="7"/>
  <c r="Y26" i="7"/>
  <c r="Z26" i="7"/>
  <c r="AA26" i="7"/>
  <c r="AB26" i="7"/>
  <c r="X27" i="7"/>
  <c r="Y27" i="7"/>
  <c r="Z27" i="7"/>
  <c r="AA27" i="7"/>
  <c r="AB27" i="7"/>
  <c r="X28" i="7"/>
  <c r="Y28" i="7"/>
  <c r="Z28" i="7"/>
  <c r="AA28" i="7"/>
  <c r="AB28" i="7"/>
  <c r="Y21" i="7"/>
  <c r="Z21" i="7"/>
  <c r="AA21" i="7"/>
  <c r="AB21" i="7"/>
  <c r="X21" i="7"/>
  <c r="AJ13" i="7"/>
  <c r="AK13" i="7"/>
  <c r="AL13" i="7"/>
  <c r="AM13" i="7"/>
  <c r="AN13" i="7"/>
  <c r="AJ14" i="7"/>
  <c r="AK14" i="7"/>
  <c r="AL14" i="7"/>
  <c r="AM14" i="7"/>
  <c r="AN14" i="7"/>
  <c r="AJ15" i="7"/>
  <c r="AK15" i="7"/>
  <c r="AL15" i="7"/>
  <c r="AM15" i="7"/>
  <c r="AN15" i="7"/>
  <c r="AJ16" i="7"/>
  <c r="AK16" i="7"/>
  <c r="AL16" i="7"/>
  <c r="AM16" i="7"/>
  <c r="AN16" i="7"/>
  <c r="AJ17" i="7"/>
  <c r="AK17" i="7"/>
  <c r="AL17" i="7"/>
  <c r="AM17" i="7"/>
  <c r="AN17" i="7"/>
  <c r="AJ18" i="7"/>
  <c r="AK18" i="7"/>
  <c r="AL18" i="7"/>
  <c r="AM18" i="7"/>
  <c r="AN18" i="7"/>
  <c r="AJ19" i="7"/>
  <c r="AK19" i="7"/>
  <c r="AL19" i="7"/>
  <c r="AM19" i="7"/>
  <c r="AN19" i="7"/>
  <c r="AK12" i="7"/>
  <c r="AL12" i="7"/>
  <c r="AM12" i="7"/>
  <c r="AN12" i="7"/>
  <c r="AJ3" i="7"/>
  <c r="B21" i="7" s="1"/>
  <c r="AD13" i="7"/>
  <c r="AE13" i="7"/>
  <c r="AF13" i="7"/>
  <c r="AG13" i="7"/>
  <c r="AH13" i="7"/>
  <c r="AD14" i="7"/>
  <c r="AE14" i="7"/>
  <c r="AF14" i="7"/>
  <c r="AG14" i="7"/>
  <c r="AH14" i="7"/>
  <c r="AD15" i="7"/>
  <c r="AE15" i="7"/>
  <c r="AF15" i="7"/>
  <c r="AG15" i="7"/>
  <c r="AH15" i="7"/>
  <c r="AD16" i="7"/>
  <c r="AE16" i="7"/>
  <c r="AF16" i="7"/>
  <c r="AG16" i="7"/>
  <c r="AH16" i="7"/>
  <c r="AD17" i="7"/>
  <c r="AE17" i="7"/>
  <c r="AF17" i="7"/>
  <c r="AG17" i="7"/>
  <c r="AH17" i="7"/>
  <c r="AD18" i="7"/>
  <c r="AE18" i="7"/>
  <c r="AF18" i="7"/>
  <c r="AG18" i="7"/>
  <c r="AH18" i="7"/>
  <c r="AD19" i="7"/>
  <c r="AE19" i="7"/>
  <c r="AF19" i="7"/>
  <c r="AG19" i="7"/>
  <c r="AH19" i="7"/>
  <c r="AE12" i="7"/>
  <c r="AF12" i="7"/>
  <c r="AG12" i="7"/>
  <c r="AH12" i="7"/>
  <c r="AJ4" i="7"/>
  <c r="H22" i="7" s="1"/>
  <c r="AK4" i="7"/>
  <c r="C22" i="7" s="1"/>
  <c r="AL4" i="7"/>
  <c r="D22" i="7" s="1"/>
  <c r="AM4" i="7"/>
  <c r="Q22" i="7" s="1"/>
  <c r="AN4" i="7"/>
  <c r="L22" i="7" s="1"/>
  <c r="AJ5" i="7"/>
  <c r="N23" i="7" s="1"/>
  <c r="AK5" i="7"/>
  <c r="I23" i="7" s="1"/>
  <c r="AL5" i="7"/>
  <c r="D23" i="7" s="1"/>
  <c r="AM5" i="7"/>
  <c r="E23" i="7" s="1"/>
  <c r="AN5" i="7"/>
  <c r="R23" i="7" s="1"/>
  <c r="AJ6" i="7"/>
  <c r="B24" i="7" s="1"/>
  <c r="AK6" i="7"/>
  <c r="O24" i="7" s="1"/>
  <c r="AL6" i="7"/>
  <c r="J24" i="7" s="1"/>
  <c r="AM6" i="7"/>
  <c r="E24" i="7" s="1"/>
  <c r="AN6" i="7"/>
  <c r="F24" i="7" s="1"/>
  <c r="AJ7" i="7"/>
  <c r="B25" i="7" s="1"/>
  <c r="AK7" i="7"/>
  <c r="C25" i="7" s="1"/>
  <c r="AL7" i="7"/>
  <c r="P25" i="7" s="1"/>
  <c r="AM7" i="7"/>
  <c r="K25" i="7" s="1"/>
  <c r="AN7" i="7"/>
  <c r="F25" i="7" s="1"/>
  <c r="AJ8" i="7"/>
  <c r="H26" i="7" s="1"/>
  <c r="AK8" i="7"/>
  <c r="C26" i="7" s="1"/>
  <c r="AL8" i="7"/>
  <c r="D26" i="7" s="1"/>
  <c r="AM8" i="7"/>
  <c r="Q26" i="7" s="1"/>
  <c r="AN8" i="7"/>
  <c r="L26" i="7" s="1"/>
  <c r="AJ9" i="7"/>
  <c r="N27" i="7" s="1"/>
  <c r="AK9" i="7"/>
  <c r="I27" i="7" s="1"/>
  <c r="AL9" i="7"/>
  <c r="D27" i="7" s="1"/>
  <c r="AM9" i="7"/>
  <c r="E27" i="7" s="1"/>
  <c r="AN9" i="7"/>
  <c r="R27" i="7" s="1"/>
  <c r="AJ10" i="7"/>
  <c r="B28" i="7" s="1"/>
  <c r="AK10" i="7"/>
  <c r="O28" i="7" s="1"/>
  <c r="AL10" i="7"/>
  <c r="J28" i="7" s="1"/>
  <c r="AM10" i="7"/>
  <c r="E28" i="7" s="1"/>
  <c r="AN10" i="7"/>
  <c r="F28" i="7" s="1"/>
  <c r="AK3" i="7"/>
  <c r="C21" i="7" s="1"/>
  <c r="AL3" i="7"/>
  <c r="P21" i="7" s="1"/>
  <c r="AM3" i="7"/>
  <c r="K21" i="7" s="1"/>
  <c r="AN3" i="7"/>
  <c r="F21" i="7" s="1"/>
  <c r="AD4" i="7"/>
  <c r="AE4" i="7"/>
  <c r="AF4" i="7"/>
  <c r="AG4" i="7"/>
  <c r="AH4" i="7"/>
  <c r="AD5" i="7"/>
  <c r="AE5" i="7"/>
  <c r="AF5" i="7"/>
  <c r="AG5" i="7"/>
  <c r="AH5" i="7"/>
  <c r="AD6" i="7"/>
  <c r="AE6" i="7"/>
  <c r="AF6" i="7"/>
  <c r="AG6" i="7"/>
  <c r="AH6" i="7"/>
  <c r="AD7" i="7"/>
  <c r="AE7" i="7"/>
  <c r="AF7" i="7"/>
  <c r="AG7" i="7"/>
  <c r="AH7" i="7"/>
  <c r="AD8" i="7"/>
  <c r="AE8" i="7"/>
  <c r="AF8" i="7"/>
  <c r="AG8" i="7"/>
  <c r="AH8" i="7"/>
  <c r="AD9" i="7"/>
  <c r="AE9" i="7"/>
  <c r="AF9" i="7"/>
  <c r="AG9" i="7"/>
  <c r="AH9" i="7"/>
  <c r="AD10" i="7"/>
  <c r="AE10" i="7"/>
  <c r="AF10" i="7"/>
  <c r="AG10" i="7"/>
  <c r="AH10" i="7"/>
  <c r="AE3" i="7"/>
  <c r="AF3" i="7"/>
  <c r="AG3" i="7"/>
  <c r="AH3" i="7"/>
  <c r="C31" i="7"/>
  <c r="C30" i="7"/>
  <c r="C31" i="14"/>
  <c r="C30" i="14"/>
  <c r="C31" i="8"/>
  <c r="C30" i="8"/>
  <c r="AP12" i="8"/>
  <c r="AP13" i="8"/>
  <c r="AP14" i="8"/>
  <c r="AP15" i="8"/>
  <c r="AP16" i="8"/>
  <c r="AP17" i="8"/>
  <c r="AP18" i="8"/>
  <c r="AP19" i="8"/>
  <c r="AP28" i="8"/>
  <c r="AP22" i="8"/>
  <c r="AP23" i="8"/>
  <c r="AP24" i="8"/>
  <c r="AP25" i="8"/>
  <c r="AP26" i="8"/>
  <c r="AP27" i="8"/>
  <c r="AP21" i="8"/>
  <c r="AP3" i="8"/>
  <c r="AQ28" i="8"/>
  <c r="AQ22" i="8"/>
  <c r="AQ23" i="8"/>
  <c r="AQ24" i="8"/>
  <c r="AQ25" i="8"/>
  <c r="AQ26" i="8"/>
  <c r="AQ27" i="8"/>
  <c r="AQ21" i="8"/>
  <c r="AQ19" i="8"/>
  <c r="AQ13" i="8"/>
  <c r="AQ14" i="8"/>
  <c r="AQ15" i="8"/>
  <c r="AQ16" i="8"/>
  <c r="AQ17" i="8"/>
  <c r="AQ18" i="8"/>
  <c r="AQ12" i="8"/>
  <c r="AQ3" i="8"/>
  <c r="AR19" i="8"/>
  <c r="AR13" i="8"/>
  <c r="AR14" i="8"/>
  <c r="AR15" i="8"/>
  <c r="AR16" i="8"/>
  <c r="AR17" i="8"/>
  <c r="AR18" i="8"/>
  <c r="AR12" i="8"/>
  <c r="AR3" i="8"/>
  <c r="AR10" i="8"/>
  <c r="AR4" i="8"/>
  <c r="AR5" i="8"/>
  <c r="AR6" i="8"/>
  <c r="AR7" i="8"/>
  <c r="AR8" i="8"/>
  <c r="AR9" i="8"/>
  <c r="AQ10" i="8"/>
  <c r="AQ4" i="8"/>
  <c r="AQ5" i="8"/>
  <c r="AQ6" i="8"/>
  <c r="AQ7" i="8"/>
  <c r="AQ8" i="8"/>
  <c r="AQ9" i="8"/>
  <c r="AP10" i="8"/>
  <c r="AP8" i="8"/>
  <c r="AP9" i="8"/>
  <c r="AP4" i="8"/>
  <c r="AP5" i="8"/>
  <c r="AP6" i="8"/>
  <c r="AP7" i="8"/>
  <c r="U28" i="8"/>
  <c r="T28" i="8"/>
  <c r="U27" i="8"/>
  <c r="T27" i="8"/>
  <c r="U26" i="8"/>
  <c r="T26" i="8"/>
  <c r="U25" i="8"/>
  <c r="T25" i="8"/>
  <c r="U24" i="8"/>
  <c r="T24" i="8"/>
  <c r="U23" i="8"/>
  <c r="T23" i="8"/>
  <c r="U22" i="8"/>
  <c r="T22" i="8"/>
  <c r="U21" i="8"/>
  <c r="T21" i="8"/>
  <c r="V19" i="8"/>
  <c r="U19" i="8"/>
  <c r="T19" i="8"/>
  <c r="V18" i="8"/>
  <c r="U18" i="8"/>
  <c r="T18" i="8"/>
  <c r="V17" i="8"/>
  <c r="U17" i="8"/>
  <c r="T17" i="8"/>
  <c r="V16" i="8"/>
  <c r="U16" i="8"/>
  <c r="T16" i="8"/>
  <c r="V15" i="8"/>
  <c r="U15" i="8"/>
  <c r="T15" i="8"/>
  <c r="V14" i="8"/>
  <c r="U14" i="8"/>
  <c r="T14" i="8"/>
  <c r="V13" i="8"/>
  <c r="U13" i="8"/>
  <c r="T13" i="8"/>
  <c r="V12" i="8"/>
  <c r="U12" i="8"/>
  <c r="T12" i="8"/>
  <c r="V10" i="8"/>
  <c r="U10" i="8"/>
  <c r="T10" i="8"/>
  <c r="V9" i="8"/>
  <c r="U9" i="8"/>
  <c r="T9" i="8"/>
  <c r="V8" i="8"/>
  <c r="U8" i="8"/>
  <c r="T8" i="8"/>
  <c r="V7" i="8"/>
  <c r="U7" i="8"/>
  <c r="T7" i="8"/>
  <c r="V6" i="8"/>
  <c r="U6" i="8"/>
  <c r="T6" i="8"/>
  <c r="V5" i="8"/>
  <c r="U5" i="8"/>
  <c r="T5" i="8"/>
  <c r="V4" i="8"/>
  <c r="U4" i="8"/>
  <c r="T4" i="8"/>
  <c r="V3" i="8"/>
  <c r="U3" i="8"/>
  <c r="T3" i="8"/>
  <c r="R28" i="7" l="1"/>
  <c r="N28" i="7"/>
  <c r="I28" i="7"/>
  <c r="D28" i="7"/>
  <c r="Q27" i="7"/>
  <c r="L27" i="7"/>
  <c r="H27" i="7"/>
  <c r="C27" i="7"/>
  <c r="P26" i="7"/>
  <c r="K26" i="7"/>
  <c r="F26" i="7"/>
  <c r="B26" i="7"/>
  <c r="O25" i="7"/>
  <c r="J25" i="7"/>
  <c r="E25" i="7"/>
  <c r="R24" i="7"/>
  <c r="N24" i="7"/>
  <c r="I24" i="7"/>
  <c r="D24" i="7"/>
  <c r="Q23" i="7"/>
  <c r="L23" i="7"/>
  <c r="H23" i="7"/>
  <c r="C23" i="7"/>
  <c r="P22" i="7"/>
  <c r="K22" i="7"/>
  <c r="F22" i="7"/>
  <c r="B22" i="7"/>
  <c r="O21" i="7"/>
  <c r="J21" i="7"/>
  <c r="E21" i="7"/>
  <c r="Q28" i="7"/>
  <c r="L28" i="7"/>
  <c r="H28" i="7"/>
  <c r="C28" i="7"/>
  <c r="P27" i="7"/>
  <c r="K27" i="7"/>
  <c r="F27" i="7"/>
  <c r="B27" i="7"/>
  <c r="O26" i="7"/>
  <c r="J26" i="7"/>
  <c r="E26" i="7"/>
  <c r="R25" i="7"/>
  <c r="N25" i="7"/>
  <c r="I25" i="7"/>
  <c r="D25" i="7"/>
  <c r="Q24" i="7"/>
  <c r="L24" i="7"/>
  <c r="H24" i="7"/>
  <c r="C24" i="7"/>
  <c r="P23" i="7"/>
  <c r="K23" i="7"/>
  <c r="F23" i="7"/>
  <c r="B23" i="7"/>
  <c r="O22" i="7"/>
  <c r="J22" i="7"/>
  <c r="E22" i="7"/>
  <c r="R21" i="7"/>
  <c r="N21" i="7"/>
  <c r="I21" i="7"/>
  <c r="D21" i="7"/>
  <c r="P28" i="7"/>
  <c r="K28" i="7"/>
  <c r="O27" i="7"/>
  <c r="J27" i="7"/>
  <c r="R26" i="7"/>
  <c r="N26" i="7"/>
  <c r="I26" i="7"/>
  <c r="Q25" i="7"/>
  <c r="L25" i="7"/>
  <c r="H25" i="7"/>
  <c r="P24" i="7"/>
  <c r="K24" i="7"/>
  <c r="O23" i="7"/>
  <c r="J23" i="7"/>
  <c r="R22" i="7"/>
  <c r="N22" i="7"/>
  <c r="I22" i="7"/>
  <c r="Q21" i="7"/>
  <c r="L21" i="7"/>
  <c r="H21" i="7"/>
  <c r="AJ13" i="14"/>
  <c r="AK13" i="14"/>
  <c r="AL13" i="14"/>
  <c r="AM13" i="14"/>
  <c r="AN13" i="14"/>
  <c r="AJ14" i="14"/>
  <c r="AK14" i="14"/>
  <c r="AL14" i="14"/>
  <c r="AM14" i="14"/>
  <c r="AN14" i="14"/>
  <c r="AJ15" i="14"/>
  <c r="AK15" i="14"/>
  <c r="AL15" i="14"/>
  <c r="AM15" i="14"/>
  <c r="AN15" i="14"/>
  <c r="AJ16" i="14"/>
  <c r="AK16" i="14"/>
  <c r="AL16" i="14"/>
  <c r="AM16" i="14"/>
  <c r="AN16" i="14"/>
  <c r="AJ17" i="14"/>
  <c r="AK17" i="14"/>
  <c r="AL17" i="14"/>
  <c r="AM17" i="14"/>
  <c r="AN17" i="14"/>
  <c r="AJ18" i="14"/>
  <c r="AK18" i="14"/>
  <c r="AL18" i="14"/>
  <c r="AM18" i="14"/>
  <c r="AN18" i="14"/>
  <c r="AJ19" i="14"/>
  <c r="AK19" i="14"/>
  <c r="AL19" i="14"/>
  <c r="AM19" i="14"/>
  <c r="AN19" i="14"/>
  <c r="AN12" i="14"/>
  <c r="AM12" i="14"/>
  <c r="AL12" i="14"/>
  <c r="AK12" i="14"/>
  <c r="AJ12" i="14"/>
  <c r="AD13" i="14"/>
  <c r="AE13" i="14"/>
  <c r="AF13" i="14"/>
  <c r="AG13" i="14"/>
  <c r="AH13" i="14"/>
  <c r="AD14" i="14"/>
  <c r="AE14" i="14"/>
  <c r="AF14" i="14"/>
  <c r="AG14" i="14"/>
  <c r="AH14" i="14"/>
  <c r="AD15" i="14"/>
  <c r="AE15" i="14"/>
  <c r="AF15" i="14"/>
  <c r="AG15" i="14"/>
  <c r="AH15" i="14"/>
  <c r="AD16" i="14"/>
  <c r="AE16" i="14"/>
  <c r="AF16" i="14"/>
  <c r="AG16" i="14"/>
  <c r="AH16" i="14"/>
  <c r="AD17" i="14"/>
  <c r="AE17" i="14"/>
  <c r="AF17" i="14"/>
  <c r="AG17" i="14"/>
  <c r="AH17" i="14"/>
  <c r="AD18" i="14"/>
  <c r="AE18" i="14"/>
  <c r="AF18" i="14"/>
  <c r="AG18" i="14"/>
  <c r="AH18" i="14"/>
  <c r="AD19" i="14"/>
  <c r="AE19" i="14"/>
  <c r="AF19" i="14"/>
  <c r="AG19" i="14"/>
  <c r="AH19" i="14"/>
  <c r="AH12" i="14"/>
  <c r="AG12" i="14"/>
  <c r="AF12" i="14"/>
  <c r="AE12" i="14"/>
  <c r="AD4" i="14" l="1"/>
  <c r="AE4" i="14"/>
  <c r="AF4" i="14"/>
  <c r="AG4" i="14"/>
  <c r="AH4" i="14"/>
  <c r="AD5" i="14"/>
  <c r="AE5" i="14"/>
  <c r="AF5" i="14"/>
  <c r="AG5" i="14"/>
  <c r="AH5" i="14"/>
  <c r="AD6" i="14"/>
  <c r="AE6" i="14"/>
  <c r="AF6" i="14"/>
  <c r="AG6" i="14"/>
  <c r="AH6" i="14"/>
  <c r="AD7" i="14"/>
  <c r="AE7" i="14"/>
  <c r="AF7" i="14"/>
  <c r="AG7" i="14"/>
  <c r="AH7" i="14"/>
  <c r="AD8" i="14"/>
  <c r="AE8" i="14"/>
  <c r="AF8" i="14"/>
  <c r="AG8" i="14"/>
  <c r="AH8" i="14"/>
  <c r="AD9" i="14"/>
  <c r="AE9" i="14"/>
  <c r="AF9" i="14"/>
  <c r="AG9" i="14"/>
  <c r="AH9" i="14"/>
  <c r="AD10" i="14"/>
  <c r="AE10" i="14"/>
  <c r="AF10" i="14"/>
  <c r="AG10" i="14"/>
  <c r="AH10" i="14"/>
  <c r="AH3" i="14"/>
  <c r="AG3" i="14"/>
  <c r="AF3" i="14"/>
  <c r="AE3" i="14"/>
  <c r="AD3" i="14"/>
  <c r="AD22" i="14"/>
  <c r="AE22" i="14"/>
  <c r="AF22" i="14"/>
  <c r="AG22" i="14"/>
  <c r="AH22" i="14"/>
  <c r="AD23" i="14"/>
  <c r="AE23" i="14"/>
  <c r="AF23" i="14"/>
  <c r="AG23" i="14"/>
  <c r="AH23" i="14"/>
  <c r="AD24" i="14"/>
  <c r="AE24" i="14"/>
  <c r="AF24" i="14"/>
  <c r="AG24" i="14"/>
  <c r="AH24" i="14"/>
  <c r="AD25" i="14"/>
  <c r="AE25" i="14"/>
  <c r="AF25" i="14"/>
  <c r="AG25" i="14"/>
  <c r="AH25" i="14"/>
  <c r="AD26" i="14"/>
  <c r="AE26" i="14"/>
  <c r="AF26" i="14"/>
  <c r="AG26" i="14"/>
  <c r="AH26" i="14"/>
  <c r="AD27" i="14"/>
  <c r="AE27" i="14"/>
  <c r="AF27" i="14"/>
  <c r="AG27" i="14"/>
  <c r="AH27" i="14"/>
  <c r="AD28" i="14"/>
  <c r="AE28" i="14"/>
  <c r="AF28" i="14"/>
  <c r="AG28" i="14"/>
  <c r="AH28" i="14"/>
  <c r="AH21" i="14"/>
  <c r="AG21" i="14"/>
  <c r="AF21" i="14"/>
  <c r="AE21" i="14"/>
  <c r="X22" i="14"/>
  <c r="Y22" i="14"/>
  <c r="Z22" i="14"/>
  <c r="AA22" i="14"/>
  <c r="AB22" i="14"/>
  <c r="X23" i="14"/>
  <c r="Y23" i="14"/>
  <c r="Z23" i="14"/>
  <c r="AA23" i="14"/>
  <c r="AB23" i="14"/>
  <c r="X24" i="14"/>
  <c r="Y24" i="14"/>
  <c r="Z24" i="14"/>
  <c r="AA24" i="14"/>
  <c r="AB24" i="14"/>
  <c r="X25" i="14"/>
  <c r="Y25" i="14"/>
  <c r="Z25" i="14"/>
  <c r="AA25" i="14"/>
  <c r="AB25" i="14"/>
  <c r="X26" i="14"/>
  <c r="Y26" i="14"/>
  <c r="Z26" i="14"/>
  <c r="AA26" i="14"/>
  <c r="AB26" i="14"/>
  <c r="X27" i="14"/>
  <c r="Y27" i="14"/>
  <c r="Z27" i="14"/>
  <c r="AA27" i="14"/>
  <c r="AB27" i="14"/>
  <c r="X28" i="14"/>
  <c r="Y28" i="14"/>
  <c r="Z28" i="14"/>
  <c r="AA28" i="14"/>
  <c r="AB28" i="14"/>
  <c r="AB21" i="14"/>
  <c r="AA21" i="14"/>
  <c r="Z21" i="14"/>
  <c r="Y21" i="14"/>
  <c r="X21" i="14"/>
  <c r="AD12" i="14"/>
  <c r="X13" i="14"/>
  <c r="Y13" i="14"/>
  <c r="Z13" i="14"/>
  <c r="AA13" i="14"/>
  <c r="AB13" i="14"/>
  <c r="X14" i="14"/>
  <c r="Y14" i="14"/>
  <c r="Z14" i="14"/>
  <c r="AA14" i="14"/>
  <c r="AB14" i="14"/>
  <c r="X15" i="14"/>
  <c r="Y15" i="14"/>
  <c r="Z15" i="14"/>
  <c r="AA15" i="14"/>
  <c r="AB15" i="14"/>
  <c r="X16" i="14"/>
  <c r="Y16" i="14"/>
  <c r="Z16" i="14"/>
  <c r="AA16" i="14"/>
  <c r="AB16" i="14"/>
  <c r="X17" i="14"/>
  <c r="Y17" i="14"/>
  <c r="Z17" i="14"/>
  <c r="AA17" i="14"/>
  <c r="AB17" i="14"/>
  <c r="X18" i="14"/>
  <c r="Y18" i="14"/>
  <c r="Z18" i="14"/>
  <c r="AA18" i="14"/>
  <c r="AB18" i="14"/>
  <c r="X19" i="14"/>
  <c r="Y19" i="14"/>
  <c r="Z19" i="14"/>
  <c r="AA19" i="14"/>
  <c r="AB19" i="14"/>
  <c r="AB12" i="14"/>
  <c r="AA12" i="14"/>
  <c r="Z12" i="14"/>
  <c r="Y12" i="14"/>
  <c r="X12" i="14"/>
  <c r="AJ4" i="14"/>
  <c r="AK4" i="14"/>
  <c r="AL4" i="14"/>
  <c r="AM4" i="14"/>
  <c r="AN4" i="14"/>
  <c r="AJ5" i="14"/>
  <c r="AK5" i="14"/>
  <c r="AL5" i="14"/>
  <c r="AM5" i="14"/>
  <c r="AN5" i="14"/>
  <c r="AJ6" i="14"/>
  <c r="AK6" i="14"/>
  <c r="AL6" i="14"/>
  <c r="AM6" i="14"/>
  <c r="AN6" i="14"/>
  <c r="AJ7" i="14"/>
  <c r="AK7" i="14"/>
  <c r="AL7" i="14"/>
  <c r="AM7" i="14"/>
  <c r="AN7" i="14"/>
  <c r="AJ8" i="14"/>
  <c r="AK8" i="14"/>
  <c r="AL8" i="14"/>
  <c r="AM8" i="14"/>
  <c r="AN8" i="14"/>
  <c r="AJ9" i="14"/>
  <c r="AK9" i="14"/>
  <c r="AL9" i="14"/>
  <c r="AM9" i="14"/>
  <c r="AN9" i="14"/>
  <c r="AJ10" i="14"/>
  <c r="AK10" i="14"/>
  <c r="AL10" i="14"/>
  <c r="AM10" i="14"/>
  <c r="AN10" i="14"/>
  <c r="AN3" i="14"/>
  <c r="AM3" i="14"/>
  <c r="AL3" i="14"/>
  <c r="AK3" i="14"/>
  <c r="AJ3" i="14"/>
  <c r="X4" i="14"/>
  <c r="Y4" i="14"/>
  <c r="Z4" i="14"/>
  <c r="AA4" i="14"/>
  <c r="AB4" i="14"/>
  <c r="X5" i="14"/>
  <c r="Y5" i="14"/>
  <c r="Z5" i="14"/>
  <c r="AA5" i="14"/>
  <c r="AB5" i="14"/>
  <c r="X6" i="14"/>
  <c r="Y6" i="14"/>
  <c r="Z6" i="14"/>
  <c r="AA6" i="14"/>
  <c r="AB6" i="14"/>
  <c r="X7" i="14"/>
  <c r="Y7" i="14"/>
  <c r="Z7" i="14"/>
  <c r="AA7" i="14"/>
  <c r="AB7" i="14"/>
  <c r="X8" i="14"/>
  <c r="Y8" i="14"/>
  <c r="Z8" i="14"/>
  <c r="AA8" i="14"/>
  <c r="AB8" i="14"/>
  <c r="X9" i="14"/>
  <c r="Y9" i="14"/>
  <c r="Z9" i="14"/>
  <c r="AB9" i="14"/>
  <c r="X10" i="14"/>
  <c r="Y10" i="14"/>
  <c r="Z10" i="14"/>
  <c r="AA10" i="14"/>
  <c r="AB10" i="14"/>
  <c r="AB3" i="14"/>
  <c r="AA3" i="14"/>
  <c r="Z3" i="14"/>
  <c r="Y3" i="14"/>
  <c r="X3" i="14"/>
</calcChain>
</file>

<file path=xl/sharedStrings.xml><?xml version="1.0" encoding="utf-8"?>
<sst xmlns="http://schemas.openxmlformats.org/spreadsheetml/2006/main" count="184" uniqueCount="36">
  <si>
    <t>B11111,</t>
  </si>
  <si>
    <t>B11111</t>
  </si>
  <si>
    <t>B00000,</t>
  </si>
  <si>
    <t>B00000</t>
  </si>
  <si>
    <t>B00011,</t>
  </si>
  <si>
    <t>B01111,</t>
  </si>
  <si>
    <t>B11110,</t>
  </si>
  <si>
    <t>b</t>
  </si>
  <si>
    <t>w</t>
  </si>
  <si>
    <t>B00111,</t>
  </si>
  <si>
    <t>B11100,</t>
  </si>
  <si>
    <t>1</t>
  </si>
  <si>
    <t>4</t>
  </si>
  <si>
    <t>7</t>
  </si>
  <si>
    <t>3,</t>
  </si>
  <si>
    <t>24,</t>
  </si>
  <si>
    <t>31,</t>
  </si>
  <si>
    <t>7,</t>
  </si>
  <si>
    <t>28,</t>
  </si>
  <si>
    <t>15,</t>
  </si>
  <si>
    <t>30,</t>
  </si>
  <si>
    <t>32,</t>
  </si>
  <si>
    <t>32</t>
  </si>
  <si>
    <t>31</t>
  </si>
  <si>
    <t>b - black</t>
  </si>
  <si>
    <t>w - white</t>
  </si>
  <si>
    <t>Custom font 3x3</t>
  </si>
  <si>
    <t>Custom char binary definition</t>
  </si>
  <si>
    <t>Custom char preview</t>
  </si>
  <si>
    <t>Table</t>
  </si>
  <si>
    <t>Change binary definition to update custom char.</t>
  </si>
  <si>
    <t>Custom char integer definition</t>
  </si>
  <si>
    <t>Change integer definition to update custom char.</t>
  </si>
  <si>
    <t>Use custom char nubers from the left, in table above to update custom font.</t>
  </si>
  <si>
    <t>Select cells in preview to change bit for them. You can also use RMB or double click.</t>
  </si>
  <si>
    <t>The binary and integer definitions updates automatically.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</si>
</sst>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n">
        <color rgb="FF7F7F7F"/>
      </left>
      <right style="thin">
        <color rgb="FF7F7F7F"/>
      </right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38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/>
    <xf numFmtId="49" fontId="0" fillId="0" borderId="0" xfId="0" applyNumberFormat="1"/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/>
    <xf numFmtId="0" fontId="0" fillId="0" borderId="0" xfId="0" applyBorder="1"/>
    <xf numFmtId="0" fontId="0" fillId="0" borderId="0" xfId="0" applyNumberFormat="1" applyAlignment="1">
      <alignment horizont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" fillId="2" borderId="1" xfId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3" borderId="1" xfId="1" applyFill="1" applyBorder="1" applyAlignment="1">
      <alignment horizontal="center" vertical="center"/>
    </xf>
    <xf numFmtId="0" fontId="1" fillId="0" borderId="1" xfId="1" applyFill="1" applyBorder="1" applyAlignment="1">
      <alignment horizontal="center" vertical="center"/>
    </xf>
    <xf numFmtId="0" fontId="2" fillId="0" borderId="1" xfId="1" applyNumberFormat="1" applyFont="1" applyFill="1" applyBorder="1" applyAlignment="1">
      <alignment horizontal="center" vertical="center"/>
    </xf>
    <xf numFmtId="0" fontId="2" fillId="0" borderId="0" xfId="0" applyNumberFormat="1" applyFont="1" applyFill="1" applyAlignment="1">
      <alignment horizontal="center" vertical="center"/>
    </xf>
    <xf numFmtId="0" fontId="2" fillId="0" borderId="1" xfId="1" applyNumberFormat="1" applyFont="1" applyFill="1" applyBorder="1" applyAlignment="1">
      <alignment horizontal="center" vertical="center" wrapText="1"/>
    </xf>
    <xf numFmtId="49" fontId="0" fillId="0" borderId="0" xfId="0" applyNumberFormat="1" applyAlignment="1">
      <alignment horizontal="left"/>
    </xf>
    <xf numFmtId="0" fontId="0" fillId="0" borderId="0" xfId="0" applyAlignment="1">
      <alignment vertical="center" wrapText="1"/>
    </xf>
    <xf numFmtId="49" fontId="0" fillId="0" borderId="0" xfId="0" applyNumberFormat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2" fillId="0" borderId="3" xfId="0" applyNumberFormat="1" applyFont="1" applyFill="1" applyBorder="1" applyAlignment="1">
      <alignment horizontal="center" vertical="center"/>
    </xf>
    <xf numFmtId="0" fontId="1" fillId="2" borderId="14" xfId="1" applyBorder="1" applyAlignment="1">
      <alignment horizontal="center" vertical="center"/>
    </xf>
  </cellXfs>
  <cellStyles count="2">
    <cellStyle name="Good" xfId="1" builtinId="26"/>
    <cellStyle name="Normal" xfId="0" builtinId="0"/>
  </cellStyles>
  <dxfs count="20">
    <dxf>
      <font>
        <color rgb="FF0F3722"/>
      </font>
      <fill>
        <patternFill>
          <bgColor theme="1"/>
        </patternFill>
      </fill>
    </dxf>
    <dxf>
      <font>
        <color rgb="FF58D091"/>
      </font>
      <fill>
        <patternFill>
          <bgColor rgb="FFC6EFCE"/>
        </patternFill>
      </fill>
    </dxf>
    <dxf>
      <font>
        <color rgb="FF0F3722"/>
      </font>
      <fill>
        <patternFill>
          <bgColor theme="1"/>
        </patternFill>
      </fill>
    </dxf>
    <dxf>
      <font>
        <color rgb="FF58D091"/>
      </font>
      <fill>
        <patternFill>
          <bgColor rgb="FFC6EFCE"/>
        </patternFill>
      </fill>
    </dxf>
    <dxf>
      <font>
        <color rgb="FF0F3722"/>
      </font>
      <fill>
        <patternFill>
          <bgColor theme="1"/>
        </patternFill>
      </fill>
    </dxf>
    <dxf>
      <font>
        <color rgb="FF58D091"/>
      </font>
      <fill>
        <patternFill>
          <bgColor rgb="FFC6EFCE"/>
        </patternFill>
      </fill>
    </dxf>
    <dxf>
      <font>
        <color rgb="FF0F3722"/>
      </font>
      <fill>
        <patternFill>
          <bgColor theme="1"/>
        </patternFill>
      </fill>
    </dxf>
    <dxf>
      <font>
        <color rgb="FF58D091"/>
      </font>
      <fill>
        <patternFill>
          <bgColor rgb="FFC6EFCE"/>
        </patternFill>
      </fill>
    </dxf>
    <dxf>
      <font>
        <color rgb="FF0F3722"/>
      </font>
      <fill>
        <patternFill>
          <bgColor theme="1"/>
        </patternFill>
      </fill>
    </dxf>
    <dxf>
      <font>
        <color rgb="FF58D091"/>
      </font>
      <fill>
        <patternFill>
          <bgColor rgb="FFC6EFCE"/>
        </patternFill>
      </fill>
    </dxf>
    <dxf>
      <font>
        <color rgb="FF0F3722"/>
      </font>
      <fill>
        <patternFill>
          <bgColor theme="1"/>
        </patternFill>
      </fill>
    </dxf>
    <dxf>
      <font>
        <color rgb="FF58D091"/>
      </font>
      <fill>
        <patternFill>
          <bgColor rgb="FFC6EFCE"/>
        </patternFill>
      </fill>
    </dxf>
    <dxf>
      <font>
        <color rgb="FF0F3722"/>
      </font>
      <fill>
        <patternFill>
          <bgColor theme="1"/>
        </patternFill>
      </fill>
    </dxf>
    <dxf>
      <font>
        <color rgb="FF58D091"/>
      </font>
      <fill>
        <patternFill>
          <bgColor rgb="FFC6EFCE"/>
        </patternFill>
      </fill>
    </dxf>
    <dxf>
      <font>
        <color rgb="FF0F3722"/>
      </font>
      <fill>
        <patternFill>
          <bgColor theme="1"/>
        </patternFill>
      </fill>
    </dxf>
    <dxf>
      <font>
        <color rgb="FF58D091"/>
      </font>
      <fill>
        <patternFill>
          <bgColor rgb="FFC6EFCE"/>
        </patternFill>
      </fill>
    </dxf>
    <dxf>
      <font>
        <color rgb="FF58D091"/>
      </font>
      <fill>
        <patternFill>
          <bgColor rgb="FFC6EFCE"/>
        </patternFill>
      </fill>
    </dxf>
    <dxf>
      <font>
        <color rgb="FF0F3722"/>
      </font>
      <fill>
        <patternFill>
          <bgColor theme="1"/>
        </patternFill>
      </fill>
    </dxf>
    <dxf>
      <font>
        <color rgb="FF0F3722"/>
      </font>
      <fill>
        <patternFill>
          <bgColor theme="1"/>
        </patternFill>
      </fill>
    </dxf>
    <dxf>
      <font>
        <color rgb="FF58D091"/>
      </font>
      <fill>
        <patternFill>
          <bgColor rgb="FFC6EFCE"/>
        </patternFill>
      </fill>
    </dxf>
  </dxfs>
  <tableStyles count="0" defaultTableStyle="TableStyleMedium9" defaultPivotStyle="PivotStyleLight16"/>
  <colors>
    <mruColors>
      <color rgb="FF0F3722"/>
      <color rgb="FFC6EFCE"/>
      <color rgb="FF58D091"/>
      <color rgb="FF95DA8C"/>
      <color rgb="FF90E0B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"/>
  <dimension ref="A1:AX139"/>
  <sheetViews>
    <sheetView tabSelected="1" topLeftCell="A113" workbookViewId="0">
      <selection activeCell="R139" sqref="B114:R139"/>
    </sheetView>
  </sheetViews>
  <sheetFormatPr defaultRowHeight="15" x14ac:dyDescent="0.25"/>
  <cols>
    <col min="1" max="1" width="2.28515625" customWidth="1"/>
    <col min="2" max="19" width="2.140625" customWidth="1"/>
    <col min="20" max="20" width="10.28515625" style="3" customWidth="1"/>
    <col min="21" max="21" width="9.85546875" customWidth="1"/>
    <col min="23" max="40" width="2.140625" customWidth="1"/>
    <col min="41" max="41" width="8.28515625" customWidth="1"/>
    <col min="42" max="44" width="3.28515625" customWidth="1"/>
  </cols>
  <sheetData>
    <row r="1" spans="2:50" x14ac:dyDescent="0.25">
      <c r="B1" s="32" t="s">
        <v>26</v>
      </c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1"/>
      <c r="T1" s="33" t="s">
        <v>27</v>
      </c>
      <c r="U1" s="33"/>
      <c r="V1" s="33"/>
      <c r="W1" s="1"/>
      <c r="X1" s="32" t="s">
        <v>28</v>
      </c>
      <c r="Y1" s="32"/>
      <c r="Z1" s="32"/>
      <c r="AA1" s="32"/>
      <c r="AB1" s="32"/>
      <c r="AC1" s="32"/>
      <c r="AD1" s="32"/>
      <c r="AE1" s="32"/>
      <c r="AF1" s="32"/>
      <c r="AG1" s="32"/>
      <c r="AH1" s="32"/>
      <c r="AI1" s="32"/>
      <c r="AJ1" s="32"/>
      <c r="AK1" s="32"/>
      <c r="AL1" s="32"/>
      <c r="AM1" s="32"/>
      <c r="AN1" s="32"/>
      <c r="AP1" s="2"/>
      <c r="AQ1" s="2"/>
      <c r="AR1" s="2"/>
    </row>
    <row r="2" spans="2:50" ht="11.25" customHeight="1" thickBot="1" x14ac:dyDescent="0.3">
      <c r="T2" s="27" t="s">
        <v>11</v>
      </c>
      <c r="U2" s="19">
        <v>2</v>
      </c>
      <c r="V2" s="19">
        <v>3</v>
      </c>
      <c r="W2" s="1"/>
      <c r="X2" s="35">
        <v>1</v>
      </c>
      <c r="Y2" s="35"/>
      <c r="Z2" s="35"/>
      <c r="AA2" s="35"/>
      <c r="AB2" s="35"/>
      <c r="AC2" s="1"/>
      <c r="AD2" s="35">
        <v>2</v>
      </c>
      <c r="AE2" s="35"/>
      <c r="AF2" s="35"/>
      <c r="AG2" s="35"/>
      <c r="AH2" s="35"/>
      <c r="AI2" s="1"/>
      <c r="AJ2" s="35">
        <v>3</v>
      </c>
      <c r="AK2" s="35"/>
      <c r="AL2" s="35"/>
      <c r="AM2" s="35"/>
      <c r="AN2" s="35"/>
      <c r="AO2" s="1"/>
      <c r="AP2" s="34" t="s">
        <v>29</v>
      </c>
      <c r="AQ2" s="34"/>
      <c r="AR2" s="34"/>
    </row>
    <row r="3" spans="2:50" ht="11.25" customHeight="1" thickTop="1" x14ac:dyDescent="0.25">
      <c r="B3" s="18" t="str">
        <f t="shared" ref="B3:D4" si="0">IF($AT$3=1,X3,IF($AT$3=2,AD3,IF($AT$3=3,AJ3,IF($AT$3=4,X12,IF($AT$3=5,AD12,IF($AT$3=6,AJ12,IF($AT$3=7,X21,IF($AT$3=8,AD21,IF($AT$3="b",1,IF($AT$3="w",0,IF($AT$3=9,AJ21,"")))))))))))</f>
        <v/>
      </c>
      <c r="C3" s="18" t="str">
        <f t="shared" si="0"/>
        <v/>
      </c>
      <c r="D3" s="18" t="str">
        <f t="shared" si="0"/>
        <v/>
      </c>
      <c r="E3" s="18">
        <v>0</v>
      </c>
      <c r="F3" s="18">
        <v>0</v>
      </c>
      <c r="G3" s="29"/>
      <c r="H3" s="18">
        <v>0</v>
      </c>
      <c r="I3" s="18">
        <v>0</v>
      </c>
      <c r="J3" s="18">
        <v>0</v>
      </c>
      <c r="K3" s="18">
        <v>0</v>
      </c>
      <c r="L3" s="18">
        <v>0</v>
      </c>
      <c r="M3" s="29"/>
      <c r="N3" s="18">
        <v>0</v>
      </c>
      <c r="O3" s="18">
        <v>0</v>
      </c>
      <c r="P3" s="18" t="str">
        <f t="shared" ref="P3:R10" si="1">IF($AV$3=1,Z3,IF($AV$3=2,AF3,IF($AV$3=3,AL3,IF($AV$3=4,Z12,IF($AV$3=5,AF12,IF($AV$3=6,AL12,IF($AV$3=7,Z21,IF($AV$3=8,AF21,IF($AV$3="b",1,IF($AV$3="w",0,IF($AV$3=9,AL21,"")))))))))))</f>
        <v/>
      </c>
      <c r="Q3" s="18" t="str">
        <f t="shared" si="1"/>
        <v/>
      </c>
      <c r="R3" s="18" t="str">
        <f t="shared" si="1"/>
        <v/>
      </c>
      <c r="T3" s="3" t="s">
        <v>9</v>
      </c>
      <c r="U3" s="3" t="s">
        <v>10</v>
      </c>
      <c r="V3" s="3" t="s">
        <v>0</v>
      </c>
      <c r="X3" s="21">
        <f>IF(MID(T3,2,1)="1",1,0)</f>
        <v>0</v>
      </c>
      <c r="Y3" s="21">
        <f>IF(MID(T3,3,1)="1",1,0)</f>
        <v>0</v>
      </c>
      <c r="Z3" s="21">
        <f>IF(MID(T3,4,1)="1",1,0)</f>
        <v>1</v>
      </c>
      <c r="AA3" s="21">
        <f>IF(MID(T3,5,1)="1",1,0)</f>
        <v>1</v>
      </c>
      <c r="AB3" s="21">
        <f>IF(MID(T3,6,1)="1",1,0)</f>
        <v>1</v>
      </c>
      <c r="AC3" s="19"/>
      <c r="AD3" s="20">
        <f>IF(MID(U3,2,1)="1",1,0)</f>
        <v>1</v>
      </c>
      <c r="AE3" s="20">
        <f>IF(MID(U3,3,1)="1",1,0)</f>
        <v>1</v>
      </c>
      <c r="AF3" s="20">
        <f>IF(MID(U3,4,1)="1",1,0)</f>
        <v>1</v>
      </c>
      <c r="AG3" s="20">
        <f>IF(MID(U3,5,1)="1",1,0)</f>
        <v>0</v>
      </c>
      <c r="AH3" s="20">
        <f>IF(MID(U3,6,1)="1",1,0)</f>
        <v>0</v>
      </c>
      <c r="AI3" s="19"/>
      <c r="AJ3" s="20">
        <f>IF(MID(V3,2,1)="1",1,0)</f>
        <v>1</v>
      </c>
      <c r="AK3" s="20">
        <f>IF(MID(V3,2,1)="1",1,0)</f>
        <v>1</v>
      </c>
      <c r="AL3" s="20">
        <f>IF(MID(V3,2,1)="1",1,0)</f>
        <v>1</v>
      </c>
      <c r="AM3" s="20">
        <f>IF(MID(V3,2,1)="1",1,0)</f>
        <v>1</v>
      </c>
      <c r="AN3" s="20">
        <f>IF(MID(V3,2,1)="1",1,0)</f>
        <v>1</v>
      </c>
      <c r="AP3" s="10">
        <v>6</v>
      </c>
      <c r="AQ3" s="11">
        <v>3</v>
      </c>
      <c r="AR3" s="12">
        <v>7</v>
      </c>
    </row>
    <row r="4" spans="2:50" ht="11.25" customHeight="1" x14ac:dyDescent="0.25">
      <c r="B4" s="18" t="str">
        <f t="shared" si="0"/>
        <v/>
      </c>
      <c r="C4" s="18" t="str">
        <f t="shared" si="0"/>
        <v/>
      </c>
      <c r="D4" s="18">
        <v>0</v>
      </c>
      <c r="E4" s="18">
        <v>0</v>
      </c>
      <c r="F4" s="18">
        <v>0</v>
      </c>
      <c r="G4" s="29"/>
      <c r="H4" s="18">
        <v>0</v>
      </c>
      <c r="I4" s="18">
        <v>0</v>
      </c>
      <c r="J4" s="18">
        <v>0</v>
      </c>
      <c r="K4" s="18">
        <v>0</v>
      </c>
      <c r="L4" s="18">
        <v>0</v>
      </c>
      <c r="M4" s="29"/>
      <c r="N4" s="18">
        <v>0</v>
      </c>
      <c r="O4" s="18">
        <v>0</v>
      </c>
      <c r="P4" s="18">
        <v>0</v>
      </c>
      <c r="Q4" s="18" t="str">
        <f t="shared" si="1"/>
        <v/>
      </c>
      <c r="R4" s="18" t="str">
        <f t="shared" si="1"/>
        <v/>
      </c>
      <c r="T4" s="3" t="s">
        <v>5</v>
      </c>
      <c r="U4" s="3" t="s">
        <v>6</v>
      </c>
      <c r="V4" s="3" t="s">
        <v>0</v>
      </c>
      <c r="X4" s="21">
        <f t="shared" ref="X4:X10" si="2">IF(MID(T4,2,1)="1",1,0)</f>
        <v>0</v>
      </c>
      <c r="Y4" s="21">
        <f t="shared" ref="Y4:Y10" si="3">IF(MID(T4,3,1)="1",1,0)</f>
        <v>1</v>
      </c>
      <c r="Z4" s="21">
        <f t="shared" ref="Z4:Z10" si="4">IF(MID(T4,4,1)="1",1,0)</f>
        <v>1</v>
      </c>
      <c r="AA4" s="21">
        <f t="shared" ref="AA4:AA10" si="5">IF(MID(T4,5,1)="1",1,0)</f>
        <v>1</v>
      </c>
      <c r="AB4" s="21">
        <f t="shared" ref="AB4:AB10" si="6">IF(MID(T4,6,1)="1",1,0)</f>
        <v>1</v>
      </c>
      <c r="AC4" s="19"/>
      <c r="AD4" s="20">
        <f t="shared" ref="AD4:AD10" si="7">IF(MID(U4,2,1)="1",1,0)</f>
        <v>1</v>
      </c>
      <c r="AE4" s="20">
        <f t="shared" ref="AE4:AE10" si="8">IF(MID(U4,3,1)="1",1,0)</f>
        <v>1</v>
      </c>
      <c r="AF4" s="20">
        <f t="shared" ref="AF4:AF10" si="9">IF(MID(U4,4,1)="1",1,0)</f>
        <v>1</v>
      </c>
      <c r="AG4" s="20">
        <f t="shared" ref="AG4:AG10" si="10">IF(MID(U4,5,1)="1",1,0)</f>
        <v>1</v>
      </c>
      <c r="AH4" s="20">
        <f t="shared" ref="AH4:AH10" si="11">IF(MID(U4,6,1)="1",1,0)</f>
        <v>0</v>
      </c>
      <c r="AI4" s="19"/>
      <c r="AJ4" s="20">
        <f t="shared" ref="AJ4:AJ10" si="12">IF(MID(V4,2,1)="1",1,0)</f>
        <v>1</v>
      </c>
      <c r="AK4" s="20">
        <f t="shared" ref="AK4:AK10" si="13">IF(MID(V4,2,1)="1",1,0)</f>
        <v>1</v>
      </c>
      <c r="AL4" s="20">
        <f t="shared" ref="AL4:AL10" si="14">IF(MID(V4,2,1)="1",1,0)</f>
        <v>1</v>
      </c>
      <c r="AM4" s="20">
        <f t="shared" ref="AM4:AM10" si="15">IF(MID(V4,2,1)="1",1,0)</f>
        <v>1</v>
      </c>
      <c r="AN4" s="20">
        <f t="shared" ref="AN4:AN10" si="16">IF(MID(V4,2,1)="1",1,0)</f>
        <v>1</v>
      </c>
      <c r="AP4" s="13" t="s">
        <v>7</v>
      </c>
      <c r="AQ4" s="9" t="s">
        <v>8</v>
      </c>
      <c r="AR4" s="14" t="s">
        <v>7</v>
      </c>
    </row>
    <row r="5" spans="2:50" ht="11.25" customHeight="1" thickBot="1" x14ac:dyDescent="0.3">
      <c r="B5" s="18">
        <v>0</v>
      </c>
      <c r="C5" s="18">
        <v>0</v>
      </c>
      <c r="D5" s="18">
        <v>0</v>
      </c>
      <c r="E5" s="18">
        <v>0</v>
      </c>
      <c r="F5" s="18">
        <v>0</v>
      </c>
      <c r="G5" s="29"/>
      <c r="H5" s="18">
        <v>0</v>
      </c>
      <c r="I5" s="18">
        <v>0</v>
      </c>
      <c r="J5" s="18">
        <v>0</v>
      </c>
      <c r="K5" s="18">
        <v>0</v>
      </c>
      <c r="L5" s="18">
        <v>0</v>
      </c>
      <c r="M5" s="29"/>
      <c r="N5" s="18">
        <v>0</v>
      </c>
      <c r="O5" s="18">
        <v>0</v>
      </c>
      <c r="P5" s="18">
        <v>0</v>
      </c>
      <c r="Q5" s="18">
        <v>0</v>
      </c>
      <c r="R5" s="18" t="str">
        <f t="shared" si="1"/>
        <v/>
      </c>
      <c r="T5" s="3" t="s">
        <v>0</v>
      </c>
      <c r="U5" s="3" t="s">
        <v>0</v>
      </c>
      <c r="V5" s="3" t="s">
        <v>0</v>
      </c>
      <c r="X5" s="21">
        <f t="shared" si="2"/>
        <v>1</v>
      </c>
      <c r="Y5" s="21">
        <f t="shared" si="3"/>
        <v>1</v>
      </c>
      <c r="Z5" s="21">
        <f t="shared" si="4"/>
        <v>1</v>
      </c>
      <c r="AA5" s="21">
        <f t="shared" si="5"/>
        <v>1</v>
      </c>
      <c r="AB5" s="21">
        <f t="shared" si="6"/>
        <v>1</v>
      </c>
      <c r="AC5" s="19"/>
      <c r="AD5" s="20">
        <f t="shared" si="7"/>
        <v>1</v>
      </c>
      <c r="AE5" s="20">
        <f t="shared" si="8"/>
        <v>1</v>
      </c>
      <c r="AF5" s="20">
        <f t="shared" si="9"/>
        <v>1</v>
      </c>
      <c r="AG5" s="20">
        <f t="shared" si="10"/>
        <v>1</v>
      </c>
      <c r="AH5" s="20">
        <f t="shared" si="11"/>
        <v>1</v>
      </c>
      <c r="AI5" s="19"/>
      <c r="AJ5" s="20">
        <f t="shared" si="12"/>
        <v>1</v>
      </c>
      <c r="AK5" s="20">
        <f t="shared" si="13"/>
        <v>1</v>
      </c>
      <c r="AL5" s="20">
        <f t="shared" si="14"/>
        <v>1</v>
      </c>
      <c r="AM5" s="20">
        <f t="shared" si="15"/>
        <v>1</v>
      </c>
      <c r="AN5" s="20">
        <f t="shared" si="16"/>
        <v>1</v>
      </c>
      <c r="AP5" s="15">
        <v>5</v>
      </c>
      <c r="AQ5" s="16">
        <v>3</v>
      </c>
      <c r="AR5" s="17">
        <v>4</v>
      </c>
    </row>
    <row r="6" spans="2:50" ht="11.25" customHeight="1" thickTop="1" x14ac:dyDescent="0.25">
      <c r="B6" s="18">
        <v>0</v>
      </c>
      <c r="C6" s="18">
        <v>0</v>
      </c>
      <c r="D6" s="18">
        <v>0</v>
      </c>
      <c r="E6" s="18">
        <v>0</v>
      </c>
      <c r="F6" s="18">
        <v>0</v>
      </c>
      <c r="G6" s="29"/>
      <c r="H6" s="18">
        <v>0</v>
      </c>
      <c r="I6" s="18">
        <v>0</v>
      </c>
      <c r="J6" s="18">
        <v>0</v>
      </c>
      <c r="K6" s="18">
        <v>0</v>
      </c>
      <c r="L6" s="18">
        <v>0</v>
      </c>
      <c r="M6" s="29"/>
      <c r="N6" s="18">
        <v>0</v>
      </c>
      <c r="O6" s="18">
        <v>0</v>
      </c>
      <c r="P6" s="18">
        <v>0</v>
      </c>
      <c r="Q6" s="18">
        <v>0</v>
      </c>
      <c r="R6" s="18">
        <v>0</v>
      </c>
      <c r="T6" s="3" t="s">
        <v>0</v>
      </c>
      <c r="U6" s="3" t="s">
        <v>0</v>
      </c>
      <c r="V6" s="3" t="s">
        <v>0</v>
      </c>
      <c r="X6" s="21">
        <f t="shared" si="2"/>
        <v>1</v>
      </c>
      <c r="Y6" s="21">
        <f t="shared" si="3"/>
        <v>1</v>
      </c>
      <c r="Z6" s="21">
        <f t="shared" si="4"/>
        <v>1</v>
      </c>
      <c r="AA6" s="21">
        <f t="shared" si="5"/>
        <v>1</v>
      </c>
      <c r="AB6" s="21">
        <f t="shared" si="6"/>
        <v>1</v>
      </c>
      <c r="AC6" s="19"/>
      <c r="AD6" s="20">
        <f t="shared" si="7"/>
        <v>1</v>
      </c>
      <c r="AE6" s="20">
        <f t="shared" si="8"/>
        <v>1</v>
      </c>
      <c r="AF6" s="20">
        <f t="shared" si="9"/>
        <v>1</v>
      </c>
      <c r="AG6" s="20">
        <f t="shared" si="10"/>
        <v>1</v>
      </c>
      <c r="AH6" s="20">
        <f t="shared" si="11"/>
        <v>1</v>
      </c>
      <c r="AI6" s="19"/>
      <c r="AJ6" s="20">
        <f t="shared" si="12"/>
        <v>1</v>
      </c>
      <c r="AK6" s="20">
        <f t="shared" si="13"/>
        <v>1</v>
      </c>
      <c r="AL6" s="20">
        <f t="shared" si="14"/>
        <v>1</v>
      </c>
      <c r="AM6" s="20">
        <f t="shared" si="15"/>
        <v>1</v>
      </c>
      <c r="AN6" s="20">
        <f t="shared" si="16"/>
        <v>1</v>
      </c>
      <c r="AW6" s="26"/>
      <c r="AX6" s="26"/>
    </row>
    <row r="7" spans="2:50" ht="11.25" customHeight="1" x14ac:dyDescent="0.25">
      <c r="B7" s="18">
        <v>0</v>
      </c>
      <c r="C7" s="18">
        <v>1</v>
      </c>
      <c r="D7" s="18">
        <v>1</v>
      </c>
      <c r="E7" s="18">
        <v>1</v>
      </c>
      <c r="F7" s="18">
        <v>0</v>
      </c>
      <c r="G7" s="29"/>
      <c r="H7" s="18" t="str">
        <f t="shared" ref="H7:L14" si="17">IF($AU$3=1,X7,IF($AU$3=2,AD7,IF($AU$3=3,AJ7,IF($AU$3=4,X16,IF($AU$3=5,AD16,IF($AU$3=6,AJ16,IF($AU$3=7,X25,IF($AU$3=8,AD25,IF($AU$3="b",1,IF($AU$3="w",0,IF($AU$3=9,AJ25,"")))))))))))</f>
        <v/>
      </c>
      <c r="I7" s="18" t="str">
        <f t="shared" si="17"/>
        <v/>
      </c>
      <c r="J7" s="18" t="str">
        <f t="shared" si="17"/>
        <v/>
      </c>
      <c r="K7" s="18" t="str">
        <f t="shared" si="17"/>
        <v/>
      </c>
      <c r="L7" s="18" t="str">
        <f t="shared" si="17"/>
        <v/>
      </c>
      <c r="M7" s="29"/>
      <c r="N7" s="18">
        <v>0</v>
      </c>
      <c r="O7" s="18">
        <v>1</v>
      </c>
      <c r="P7" s="18">
        <v>1</v>
      </c>
      <c r="Q7" s="18">
        <v>1</v>
      </c>
      <c r="R7" s="18">
        <v>0</v>
      </c>
      <c r="T7" s="3" t="s">
        <v>2</v>
      </c>
      <c r="U7" s="3" t="s">
        <v>2</v>
      </c>
      <c r="V7" s="3" t="s">
        <v>2</v>
      </c>
      <c r="X7" s="21">
        <f t="shared" si="2"/>
        <v>0</v>
      </c>
      <c r="Y7" s="21">
        <f t="shared" si="3"/>
        <v>0</v>
      </c>
      <c r="Z7" s="21">
        <f t="shared" si="4"/>
        <v>0</v>
      </c>
      <c r="AA7" s="21">
        <f t="shared" si="5"/>
        <v>0</v>
      </c>
      <c r="AB7" s="21">
        <f t="shared" si="6"/>
        <v>0</v>
      </c>
      <c r="AC7" s="19"/>
      <c r="AD7" s="20">
        <f t="shared" si="7"/>
        <v>0</v>
      </c>
      <c r="AE7" s="20">
        <f t="shared" si="8"/>
        <v>0</v>
      </c>
      <c r="AF7" s="20">
        <f t="shared" si="9"/>
        <v>0</v>
      </c>
      <c r="AG7" s="20">
        <f t="shared" si="10"/>
        <v>0</v>
      </c>
      <c r="AH7" s="20">
        <f t="shared" si="11"/>
        <v>0</v>
      </c>
      <c r="AI7" s="19"/>
      <c r="AJ7" s="20">
        <f t="shared" si="12"/>
        <v>0</v>
      </c>
      <c r="AK7" s="20">
        <f t="shared" si="13"/>
        <v>0</v>
      </c>
      <c r="AL7" s="20">
        <f t="shared" si="14"/>
        <v>0</v>
      </c>
      <c r="AM7" s="20">
        <f t="shared" si="15"/>
        <v>0</v>
      </c>
      <c r="AN7" s="20">
        <f t="shared" si="16"/>
        <v>0</v>
      </c>
      <c r="AP7" s="31" t="s">
        <v>33</v>
      </c>
      <c r="AQ7" s="31"/>
      <c r="AR7" s="31"/>
      <c r="AS7" s="31"/>
      <c r="AT7" s="31"/>
      <c r="AU7" s="31"/>
      <c r="AV7" s="31"/>
      <c r="AW7" s="26"/>
      <c r="AX7" s="26"/>
    </row>
    <row r="8" spans="2:50" ht="11.25" customHeight="1" x14ac:dyDescent="0.25">
      <c r="B8" s="18">
        <v>1</v>
      </c>
      <c r="C8" s="18">
        <v>1</v>
      </c>
      <c r="D8" s="18">
        <v>1</v>
      </c>
      <c r="E8" s="18">
        <v>1</v>
      </c>
      <c r="F8" s="18">
        <v>1</v>
      </c>
      <c r="G8" s="29"/>
      <c r="H8" s="18" t="str">
        <f t="shared" si="17"/>
        <v/>
      </c>
      <c r="I8" s="18" t="str">
        <f t="shared" si="17"/>
        <v/>
      </c>
      <c r="J8" s="18" t="str">
        <f t="shared" si="17"/>
        <v/>
      </c>
      <c r="K8" s="18" t="str">
        <f t="shared" si="17"/>
        <v/>
      </c>
      <c r="L8" s="18" t="str">
        <f t="shared" si="17"/>
        <v/>
      </c>
      <c r="M8" s="29"/>
      <c r="N8" s="18">
        <v>1</v>
      </c>
      <c r="O8" s="18">
        <v>1</v>
      </c>
      <c r="P8" s="18">
        <v>1</v>
      </c>
      <c r="Q8" s="18">
        <v>1</v>
      </c>
      <c r="R8" s="18">
        <v>1</v>
      </c>
      <c r="T8" s="3" t="s">
        <v>2</v>
      </c>
      <c r="U8" s="3" t="s">
        <v>2</v>
      </c>
      <c r="V8" s="3" t="s">
        <v>2</v>
      </c>
      <c r="X8" s="21">
        <f t="shared" si="2"/>
        <v>0</v>
      </c>
      <c r="Y8" s="21">
        <f t="shared" si="3"/>
        <v>0</v>
      </c>
      <c r="Z8" s="21">
        <f t="shared" si="4"/>
        <v>0</v>
      </c>
      <c r="AA8" s="21">
        <f t="shared" si="5"/>
        <v>0</v>
      </c>
      <c r="AB8" s="21">
        <f t="shared" si="6"/>
        <v>0</v>
      </c>
      <c r="AC8" s="19"/>
      <c r="AD8" s="20">
        <f t="shared" si="7"/>
        <v>0</v>
      </c>
      <c r="AE8" s="20">
        <f t="shared" si="8"/>
        <v>0</v>
      </c>
      <c r="AF8" s="20">
        <f t="shared" si="9"/>
        <v>0</v>
      </c>
      <c r="AG8" s="20">
        <f t="shared" si="10"/>
        <v>0</v>
      </c>
      <c r="AH8" s="20">
        <f t="shared" si="11"/>
        <v>0</v>
      </c>
      <c r="AI8" s="19"/>
      <c r="AJ8" s="20">
        <f t="shared" si="12"/>
        <v>0</v>
      </c>
      <c r="AK8" s="20">
        <f t="shared" si="13"/>
        <v>0</v>
      </c>
      <c r="AL8" s="20">
        <f t="shared" si="14"/>
        <v>0</v>
      </c>
      <c r="AM8" s="20">
        <f t="shared" si="15"/>
        <v>0</v>
      </c>
      <c r="AN8" s="20">
        <f t="shared" si="16"/>
        <v>0</v>
      </c>
      <c r="AP8" s="31"/>
      <c r="AQ8" s="31"/>
      <c r="AR8" s="31"/>
      <c r="AS8" s="31"/>
      <c r="AT8" s="31"/>
      <c r="AU8" s="31"/>
      <c r="AV8" s="31"/>
      <c r="AW8" s="26"/>
      <c r="AX8" s="26"/>
    </row>
    <row r="9" spans="2:50" ht="11.25" customHeight="1" x14ac:dyDescent="0.25">
      <c r="B9" s="18">
        <v>1</v>
      </c>
      <c r="C9" s="18">
        <v>1</v>
      </c>
      <c r="D9" s="18">
        <v>1</v>
      </c>
      <c r="E9" s="18">
        <v>1</v>
      </c>
      <c r="F9" s="18">
        <v>1</v>
      </c>
      <c r="G9" s="29"/>
      <c r="H9" s="18" t="str">
        <f t="shared" si="17"/>
        <v/>
      </c>
      <c r="I9" s="18" t="str">
        <f t="shared" si="17"/>
        <v/>
      </c>
      <c r="J9" s="18" t="str">
        <f t="shared" si="17"/>
        <v/>
      </c>
      <c r="K9" s="18" t="str">
        <f t="shared" si="17"/>
        <v/>
      </c>
      <c r="L9" s="18" t="str">
        <f t="shared" si="17"/>
        <v/>
      </c>
      <c r="M9" s="29"/>
      <c r="N9" s="18">
        <v>1</v>
      </c>
      <c r="O9" s="18">
        <v>1</v>
      </c>
      <c r="P9" s="18">
        <v>1</v>
      </c>
      <c r="Q9" s="18">
        <v>1</v>
      </c>
      <c r="R9" s="18">
        <v>1</v>
      </c>
      <c r="T9" s="3" t="s">
        <v>2</v>
      </c>
      <c r="U9" s="3" t="s">
        <v>2</v>
      </c>
      <c r="V9" s="3" t="s">
        <v>2</v>
      </c>
      <c r="X9" s="21">
        <f t="shared" si="2"/>
        <v>0</v>
      </c>
      <c r="Y9" s="21">
        <f t="shared" si="3"/>
        <v>0</v>
      </c>
      <c r="Z9" s="21">
        <f t="shared" si="4"/>
        <v>0</v>
      </c>
      <c r="AA9" s="21">
        <f t="shared" si="5"/>
        <v>0</v>
      </c>
      <c r="AB9" s="21">
        <f t="shared" si="6"/>
        <v>0</v>
      </c>
      <c r="AC9" s="19"/>
      <c r="AD9" s="20">
        <f t="shared" si="7"/>
        <v>0</v>
      </c>
      <c r="AE9" s="20">
        <f t="shared" si="8"/>
        <v>0</v>
      </c>
      <c r="AF9" s="20">
        <f t="shared" si="9"/>
        <v>0</v>
      </c>
      <c r="AG9" s="20">
        <f t="shared" si="10"/>
        <v>0</v>
      </c>
      <c r="AH9" s="20">
        <f t="shared" si="11"/>
        <v>0</v>
      </c>
      <c r="AI9" s="19"/>
      <c r="AJ9" s="20">
        <f t="shared" si="12"/>
        <v>0</v>
      </c>
      <c r="AK9" s="20">
        <f t="shared" si="13"/>
        <v>0</v>
      </c>
      <c r="AL9" s="20">
        <f t="shared" si="14"/>
        <v>0</v>
      </c>
      <c r="AM9" s="20">
        <f t="shared" si="15"/>
        <v>0</v>
      </c>
      <c r="AN9" s="20">
        <f t="shared" si="16"/>
        <v>0</v>
      </c>
      <c r="AP9" s="31"/>
      <c r="AQ9" s="31"/>
      <c r="AR9" s="31"/>
      <c r="AS9" s="31"/>
      <c r="AT9" s="31"/>
      <c r="AU9" s="31"/>
      <c r="AV9" s="31"/>
    </row>
    <row r="10" spans="2:50" ht="11.25" customHeight="1" x14ac:dyDescent="0.25">
      <c r="B10" s="18">
        <v>1</v>
      </c>
      <c r="C10" s="18">
        <v>1</v>
      </c>
      <c r="D10" s="18">
        <v>1</v>
      </c>
      <c r="E10" s="18">
        <v>1</v>
      </c>
      <c r="F10" s="18">
        <v>1</v>
      </c>
      <c r="G10" s="29"/>
      <c r="H10" s="18" t="str">
        <f t="shared" si="17"/>
        <v/>
      </c>
      <c r="I10" s="18" t="str">
        <f t="shared" si="17"/>
        <v/>
      </c>
      <c r="J10" s="18" t="str">
        <f t="shared" si="17"/>
        <v/>
      </c>
      <c r="K10" s="18" t="str">
        <f t="shared" si="17"/>
        <v/>
      </c>
      <c r="L10" s="18" t="str">
        <f t="shared" si="17"/>
        <v/>
      </c>
      <c r="M10" s="29"/>
      <c r="N10" s="18">
        <v>1</v>
      </c>
      <c r="O10" s="18">
        <v>1</v>
      </c>
      <c r="P10" s="18">
        <v>1</v>
      </c>
      <c r="Q10" s="18">
        <v>1</v>
      </c>
      <c r="R10" s="18">
        <v>1</v>
      </c>
      <c r="T10" s="3" t="s">
        <v>3</v>
      </c>
      <c r="U10" s="3" t="s">
        <v>3</v>
      </c>
      <c r="V10" s="3" t="s">
        <v>3</v>
      </c>
      <c r="X10" s="21">
        <f t="shared" si="2"/>
        <v>0</v>
      </c>
      <c r="Y10" s="21">
        <f t="shared" si="3"/>
        <v>0</v>
      </c>
      <c r="Z10" s="21">
        <f t="shared" si="4"/>
        <v>0</v>
      </c>
      <c r="AA10" s="21">
        <f t="shared" si="5"/>
        <v>0</v>
      </c>
      <c r="AB10" s="21">
        <f t="shared" si="6"/>
        <v>0</v>
      </c>
      <c r="AC10" s="19"/>
      <c r="AD10" s="20">
        <f t="shared" si="7"/>
        <v>0</v>
      </c>
      <c r="AE10" s="20">
        <f t="shared" si="8"/>
        <v>0</v>
      </c>
      <c r="AF10" s="20">
        <f t="shared" si="9"/>
        <v>0</v>
      </c>
      <c r="AG10" s="20">
        <f t="shared" si="10"/>
        <v>0</v>
      </c>
      <c r="AH10" s="20">
        <f t="shared" si="11"/>
        <v>0</v>
      </c>
      <c r="AI10" s="19"/>
      <c r="AJ10" s="20">
        <f t="shared" si="12"/>
        <v>0</v>
      </c>
      <c r="AK10" s="20">
        <f t="shared" si="13"/>
        <v>0</v>
      </c>
      <c r="AL10" s="20">
        <f t="shared" si="14"/>
        <v>0</v>
      </c>
      <c r="AM10" s="20">
        <f t="shared" si="15"/>
        <v>0</v>
      </c>
      <c r="AN10" s="20">
        <f t="shared" si="16"/>
        <v>0</v>
      </c>
    </row>
    <row r="11" spans="2:50" ht="12" customHeight="1" x14ac:dyDescent="0.25">
      <c r="B11" s="29"/>
      <c r="C11" s="29"/>
      <c r="D11" s="29"/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29"/>
      <c r="T11" s="4" t="s">
        <v>12</v>
      </c>
      <c r="U11" s="5">
        <v>5</v>
      </c>
      <c r="V11" s="5">
        <v>6</v>
      </c>
      <c r="X11" s="30">
        <v>4</v>
      </c>
      <c r="Y11" s="30"/>
      <c r="Z11" s="30"/>
      <c r="AA11" s="30"/>
      <c r="AB11" s="30"/>
      <c r="AC11" s="19"/>
      <c r="AD11" s="30">
        <v>5</v>
      </c>
      <c r="AE11" s="30"/>
      <c r="AF11" s="30"/>
      <c r="AG11" s="30"/>
      <c r="AH11" s="30"/>
      <c r="AI11" s="19"/>
      <c r="AJ11" s="30">
        <v>6</v>
      </c>
      <c r="AK11" s="30"/>
      <c r="AL11" s="30"/>
      <c r="AM11" s="30"/>
      <c r="AN11" s="30"/>
      <c r="AP11" t="s">
        <v>24</v>
      </c>
    </row>
    <row r="12" spans="2:50" ht="11.25" customHeight="1" x14ac:dyDescent="0.25">
      <c r="B12" s="18">
        <v>1</v>
      </c>
      <c r="C12" s="18">
        <v>1</v>
      </c>
      <c r="D12" s="18">
        <v>1</v>
      </c>
      <c r="E12" s="18">
        <v>1</v>
      </c>
      <c r="F12" s="18">
        <v>1</v>
      </c>
      <c r="G12" s="29"/>
      <c r="H12" s="18">
        <v>0</v>
      </c>
      <c r="I12" s="18">
        <v>0</v>
      </c>
      <c r="J12" s="18">
        <v>0</v>
      </c>
      <c r="K12" s="18">
        <v>0</v>
      </c>
      <c r="L12" s="18">
        <v>0</v>
      </c>
      <c r="M12" s="29"/>
      <c r="N12" s="18">
        <v>1</v>
      </c>
      <c r="O12" s="18">
        <v>1</v>
      </c>
      <c r="P12" s="18">
        <v>1</v>
      </c>
      <c r="Q12" s="18">
        <v>1</v>
      </c>
      <c r="R12" s="18">
        <v>1</v>
      </c>
      <c r="T12" s="3" t="s">
        <v>0</v>
      </c>
      <c r="U12" s="3" t="s">
        <v>0</v>
      </c>
      <c r="V12" s="3" t="s">
        <v>9</v>
      </c>
      <c r="X12" s="21">
        <f>IF(MID(T12,2,1)="1",1,0)</f>
        <v>1</v>
      </c>
      <c r="Y12" s="21">
        <f>IF(MID(T12,3,1)="1",1,0)</f>
        <v>1</v>
      </c>
      <c r="Z12" s="21">
        <f>IF(MID(T12,4,1)="1",1,0)</f>
        <v>1</v>
      </c>
      <c r="AA12" s="21">
        <f>IF(MID(T12,5,1)="1",1,0)</f>
        <v>1</v>
      </c>
      <c r="AB12" s="21">
        <f>IF(MID(T12,6,1)="1",1,0)</f>
        <v>1</v>
      </c>
      <c r="AC12" s="19"/>
      <c r="AD12" s="20">
        <f>IF(MID(U12,2,1)="1",1,0)</f>
        <v>1</v>
      </c>
      <c r="AE12" s="20">
        <f>IF(MID(U12,3,1)="1",1,0)</f>
        <v>1</v>
      </c>
      <c r="AF12" s="20">
        <f>IF(MID(U12,4,1)="1",1,0)</f>
        <v>1</v>
      </c>
      <c r="AG12" s="20">
        <f>IF(MID(U12,5,1)="1",1,0)</f>
        <v>1</v>
      </c>
      <c r="AH12" s="20">
        <f>IF(MID(U12,6,1)="1",1,0)</f>
        <v>1</v>
      </c>
      <c r="AI12" s="19"/>
      <c r="AJ12" s="20">
        <f>IF(MID(V12,2,1)="1",1,0)</f>
        <v>0</v>
      </c>
      <c r="AK12" s="20">
        <f>IF(MID(V12,3,1)="1",1,0)</f>
        <v>0</v>
      </c>
      <c r="AL12" s="20">
        <f>IF(MID(V12,4,1)="1",1,0)</f>
        <v>1</v>
      </c>
      <c r="AM12" s="20">
        <f>IF(MID(V12,5,1)="1",1,0)</f>
        <v>1</v>
      </c>
      <c r="AN12" s="20">
        <f>IF(MID(V12,6,1)="1",1,0)</f>
        <v>1</v>
      </c>
      <c r="AP12" t="s">
        <v>25</v>
      </c>
    </row>
    <row r="13" spans="2:50" ht="11.25" customHeight="1" x14ac:dyDescent="0.25">
      <c r="B13" s="18">
        <v>1</v>
      </c>
      <c r="C13" s="18">
        <v>1</v>
      </c>
      <c r="D13" s="18">
        <v>1</v>
      </c>
      <c r="E13" s="18">
        <v>1</v>
      </c>
      <c r="F13" s="18">
        <v>1</v>
      </c>
      <c r="G13" s="29"/>
      <c r="H13" s="18">
        <v>0</v>
      </c>
      <c r="I13" s="18">
        <v>0</v>
      </c>
      <c r="J13" s="18">
        <v>0</v>
      </c>
      <c r="K13" s="18">
        <v>0</v>
      </c>
      <c r="L13" s="18">
        <v>0</v>
      </c>
      <c r="M13" s="29"/>
      <c r="N13" s="18">
        <v>1</v>
      </c>
      <c r="O13" s="18">
        <v>1</v>
      </c>
      <c r="P13" s="18">
        <v>1</v>
      </c>
      <c r="Q13" s="18">
        <v>1</v>
      </c>
      <c r="R13" s="18">
        <v>1</v>
      </c>
      <c r="T13" s="3" t="s">
        <v>0</v>
      </c>
      <c r="U13" s="3" t="s">
        <v>0</v>
      </c>
      <c r="V13" s="3" t="s">
        <v>5</v>
      </c>
      <c r="X13" s="21">
        <f t="shared" ref="X13:X19" si="18">IF(MID(T13,2,1)="1",1,0)</f>
        <v>1</v>
      </c>
      <c r="Y13" s="21">
        <f t="shared" ref="Y13:Y19" si="19">IF(MID(T13,3,1)="1",1,0)</f>
        <v>1</v>
      </c>
      <c r="Z13" s="21">
        <f t="shared" ref="Z13:Z19" si="20">IF(MID(T13,4,1)="1",1,0)</f>
        <v>1</v>
      </c>
      <c r="AA13" s="21">
        <f t="shared" ref="AA13:AA19" si="21">IF(MID(T13,5,1)="1",1,0)</f>
        <v>1</v>
      </c>
      <c r="AB13" s="21">
        <f t="shared" ref="AB13:AB19" si="22">IF(MID(T13,6,1)="1",1,0)</f>
        <v>1</v>
      </c>
      <c r="AC13" s="19"/>
      <c r="AD13" s="20">
        <f t="shared" ref="AD13:AD19" si="23">IF(MID(U13,2,1)="1",1,0)</f>
        <v>1</v>
      </c>
      <c r="AE13" s="20">
        <f t="shared" ref="AE13:AE19" si="24">IF(MID(U13,3,1)="1",1,0)</f>
        <v>1</v>
      </c>
      <c r="AF13" s="20">
        <f t="shared" ref="AF13:AF19" si="25">IF(MID(U13,4,1)="1",1,0)</f>
        <v>1</v>
      </c>
      <c r="AG13" s="20">
        <f t="shared" ref="AG13:AG19" si="26">IF(MID(U13,5,1)="1",1,0)</f>
        <v>1</v>
      </c>
      <c r="AH13" s="20">
        <f t="shared" ref="AH13:AH19" si="27">IF(MID(U13,6,1)="1",1,0)</f>
        <v>1</v>
      </c>
      <c r="AI13" s="19"/>
      <c r="AJ13" s="20">
        <f t="shared" ref="AJ13:AJ19" si="28">IF(MID(V13,2,1)="1",1,0)</f>
        <v>0</v>
      </c>
      <c r="AK13" s="20">
        <f t="shared" ref="AK13:AK19" si="29">IF(MID(V13,3,1)="1",1,0)</f>
        <v>1</v>
      </c>
      <c r="AL13" s="20">
        <f t="shared" ref="AL13:AL19" si="30">IF(MID(V13,4,1)="1",1,0)</f>
        <v>1</v>
      </c>
      <c r="AM13" s="20">
        <f t="shared" ref="AM13:AM19" si="31">IF(MID(V13,5,1)="1",1,0)</f>
        <v>1</v>
      </c>
      <c r="AN13" s="20">
        <f t="shared" ref="AN13:AN19" si="32">IF(MID(V13,6,1)="1",1,0)</f>
        <v>1</v>
      </c>
    </row>
    <row r="14" spans="2:50" ht="11.25" customHeight="1" x14ac:dyDescent="0.25">
      <c r="B14" s="18">
        <v>1</v>
      </c>
      <c r="C14" s="18">
        <v>1</v>
      </c>
      <c r="D14" s="18">
        <v>1</v>
      </c>
      <c r="E14" s="18">
        <v>1</v>
      </c>
      <c r="F14" s="18">
        <v>1</v>
      </c>
      <c r="G14" s="29"/>
      <c r="H14" s="18">
        <v>0</v>
      </c>
      <c r="I14" s="18">
        <v>0</v>
      </c>
      <c r="J14" s="18">
        <v>0</v>
      </c>
      <c r="K14" s="18">
        <v>0</v>
      </c>
      <c r="L14" s="18">
        <v>0</v>
      </c>
      <c r="M14" s="29"/>
      <c r="N14" s="18">
        <v>1</v>
      </c>
      <c r="O14" s="18">
        <v>1</v>
      </c>
      <c r="P14" s="18">
        <v>1</v>
      </c>
      <c r="Q14" s="18">
        <v>1</v>
      </c>
      <c r="R14" s="18">
        <v>1</v>
      </c>
      <c r="T14" s="3" t="s">
        <v>6</v>
      </c>
      <c r="U14" s="3" t="s">
        <v>5</v>
      </c>
      <c r="V14" s="3" t="s">
        <v>0</v>
      </c>
      <c r="X14" s="21">
        <f t="shared" si="18"/>
        <v>1</v>
      </c>
      <c r="Y14" s="21">
        <f t="shared" si="19"/>
        <v>1</v>
      </c>
      <c r="Z14" s="21">
        <f t="shared" si="20"/>
        <v>1</v>
      </c>
      <c r="AA14" s="21">
        <f t="shared" si="21"/>
        <v>1</v>
      </c>
      <c r="AB14" s="21">
        <f t="shared" si="22"/>
        <v>0</v>
      </c>
      <c r="AC14" s="19"/>
      <c r="AD14" s="20">
        <f t="shared" si="23"/>
        <v>0</v>
      </c>
      <c r="AE14" s="20">
        <f t="shared" si="24"/>
        <v>1</v>
      </c>
      <c r="AF14" s="20">
        <f t="shared" si="25"/>
        <v>1</v>
      </c>
      <c r="AG14" s="20">
        <f t="shared" si="26"/>
        <v>1</v>
      </c>
      <c r="AH14" s="20">
        <f t="shared" si="27"/>
        <v>1</v>
      </c>
      <c r="AI14" s="19"/>
      <c r="AJ14" s="20">
        <f t="shared" si="28"/>
        <v>1</v>
      </c>
      <c r="AK14" s="20">
        <f t="shared" si="29"/>
        <v>1</v>
      </c>
      <c r="AL14" s="20">
        <f t="shared" si="30"/>
        <v>1</v>
      </c>
      <c r="AM14" s="20">
        <f t="shared" si="31"/>
        <v>1</v>
      </c>
      <c r="AN14" s="20">
        <f t="shared" si="32"/>
        <v>1</v>
      </c>
      <c r="AP14" s="31" t="s">
        <v>30</v>
      </c>
      <c r="AQ14" s="31"/>
      <c r="AR14" s="31"/>
      <c r="AS14" s="31"/>
      <c r="AT14" s="31"/>
      <c r="AU14" s="31"/>
      <c r="AV14" s="31"/>
    </row>
    <row r="15" spans="2:50" ht="11.25" customHeight="1" x14ac:dyDescent="0.25">
      <c r="B15" s="18">
        <v>1</v>
      </c>
      <c r="C15" s="18">
        <v>1</v>
      </c>
      <c r="D15" s="18">
        <v>1</v>
      </c>
      <c r="E15" s="18">
        <v>1</v>
      </c>
      <c r="F15" s="18">
        <v>1</v>
      </c>
      <c r="G15" s="29"/>
      <c r="H15" s="18">
        <v>0</v>
      </c>
      <c r="I15" s="18">
        <v>0</v>
      </c>
      <c r="J15" s="18">
        <v>0</v>
      </c>
      <c r="K15" s="18">
        <v>0</v>
      </c>
      <c r="L15" s="18">
        <v>0</v>
      </c>
      <c r="M15" s="29"/>
      <c r="N15" s="18">
        <v>1</v>
      </c>
      <c r="O15" s="18">
        <v>1</v>
      </c>
      <c r="P15" s="18">
        <v>1</v>
      </c>
      <c r="Q15" s="18">
        <v>1</v>
      </c>
      <c r="R15" s="18">
        <v>1</v>
      </c>
      <c r="T15" s="3" t="s">
        <v>10</v>
      </c>
      <c r="U15" s="3" t="s">
        <v>9</v>
      </c>
      <c r="V15" s="6" t="s">
        <v>0</v>
      </c>
      <c r="X15" s="21">
        <f t="shared" si="18"/>
        <v>1</v>
      </c>
      <c r="Y15" s="21">
        <f t="shared" si="19"/>
        <v>1</v>
      </c>
      <c r="Z15" s="21">
        <f t="shared" si="20"/>
        <v>1</v>
      </c>
      <c r="AA15" s="21">
        <f t="shared" si="21"/>
        <v>0</v>
      </c>
      <c r="AB15" s="21">
        <f t="shared" si="22"/>
        <v>0</v>
      </c>
      <c r="AC15" s="19"/>
      <c r="AD15" s="20">
        <f t="shared" si="23"/>
        <v>0</v>
      </c>
      <c r="AE15" s="20">
        <f t="shared" si="24"/>
        <v>0</v>
      </c>
      <c r="AF15" s="20">
        <f t="shared" si="25"/>
        <v>1</v>
      </c>
      <c r="AG15" s="20">
        <f t="shared" si="26"/>
        <v>1</v>
      </c>
      <c r="AH15" s="20">
        <f t="shared" si="27"/>
        <v>1</v>
      </c>
      <c r="AI15" s="19"/>
      <c r="AJ15" s="20">
        <f t="shared" si="28"/>
        <v>1</v>
      </c>
      <c r="AK15" s="20">
        <f t="shared" si="29"/>
        <v>1</v>
      </c>
      <c r="AL15" s="20">
        <f t="shared" si="30"/>
        <v>1</v>
      </c>
      <c r="AM15" s="20">
        <f t="shared" si="31"/>
        <v>1</v>
      </c>
      <c r="AN15" s="20">
        <f t="shared" si="32"/>
        <v>1</v>
      </c>
      <c r="AP15" s="31"/>
      <c r="AQ15" s="31"/>
      <c r="AR15" s="31"/>
      <c r="AS15" s="31"/>
      <c r="AT15" s="31"/>
      <c r="AU15" s="31"/>
      <c r="AV15" s="31"/>
    </row>
    <row r="16" spans="2:50" ht="11.25" customHeight="1" x14ac:dyDescent="0.25">
      <c r="B16" s="18">
        <v>1</v>
      </c>
      <c r="C16" s="18">
        <v>1</v>
      </c>
      <c r="D16" s="18">
        <v>1</v>
      </c>
      <c r="E16" s="18">
        <v>1</v>
      </c>
      <c r="F16" s="18">
        <v>1</v>
      </c>
      <c r="G16" s="29"/>
      <c r="H16" s="18" t="str">
        <f t="shared" ref="H16:L23" si="33">IF($AU$4=1,X7,IF($AU$4=2,AD7,IF($AU$4=3,AJ7,IF($AU$4=4,X16,IF($AU$4=5,AD16,IF($AU$4=6,AJ16,IF($AU$4=7,X25,IF($AU$4=8,AD25,IF($AU$4="b",1,IF($AU$4="w",0,IF($AU$4=9,AJ25,"")))))))))))</f>
        <v/>
      </c>
      <c r="I16" s="18" t="str">
        <f t="shared" si="33"/>
        <v/>
      </c>
      <c r="J16" s="18" t="str">
        <f t="shared" si="33"/>
        <v/>
      </c>
      <c r="K16" s="18" t="str">
        <f t="shared" si="33"/>
        <v/>
      </c>
      <c r="L16" s="18" t="str">
        <f t="shared" si="33"/>
        <v/>
      </c>
      <c r="M16" s="29"/>
      <c r="N16" s="18">
        <v>1</v>
      </c>
      <c r="O16" s="18">
        <v>1</v>
      </c>
      <c r="P16" s="18">
        <v>1</v>
      </c>
      <c r="Q16" s="18">
        <v>1</v>
      </c>
      <c r="R16" s="18">
        <v>1</v>
      </c>
      <c r="T16" s="3" t="s">
        <v>2</v>
      </c>
      <c r="U16" s="3" t="s">
        <v>2</v>
      </c>
      <c r="V16" s="6" t="s">
        <v>0</v>
      </c>
      <c r="X16" s="21">
        <f t="shared" si="18"/>
        <v>0</v>
      </c>
      <c r="Y16" s="21">
        <f t="shared" si="19"/>
        <v>0</v>
      </c>
      <c r="Z16" s="21">
        <f t="shared" si="20"/>
        <v>0</v>
      </c>
      <c r="AA16" s="21">
        <f t="shared" si="21"/>
        <v>0</v>
      </c>
      <c r="AB16" s="21">
        <f t="shared" si="22"/>
        <v>0</v>
      </c>
      <c r="AC16" s="19"/>
      <c r="AD16" s="20">
        <f t="shared" si="23"/>
        <v>0</v>
      </c>
      <c r="AE16" s="20">
        <f t="shared" si="24"/>
        <v>0</v>
      </c>
      <c r="AF16" s="20">
        <f t="shared" si="25"/>
        <v>0</v>
      </c>
      <c r="AG16" s="20">
        <f t="shared" si="26"/>
        <v>0</v>
      </c>
      <c r="AH16" s="20">
        <f t="shared" si="27"/>
        <v>0</v>
      </c>
      <c r="AI16" s="19"/>
      <c r="AJ16" s="20">
        <f t="shared" si="28"/>
        <v>1</v>
      </c>
      <c r="AK16" s="20">
        <f t="shared" si="29"/>
        <v>1</v>
      </c>
      <c r="AL16" s="20">
        <f t="shared" si="30"/>
        <v>1</v>
      </c>
      <c r="AM16" s="20">
        <f t="shared" si="31"/>
        <v>1</v>
      </c>
      <c r="AN16" s="20">
        <f t="shared" si="32"/>
        <v>1</v>
      </c>
      <c r="AP16" s="5"/>
      <c r="AQ16" s="5"/>
      <c r="AR16" s="5"/>
      <c r="AS16" s="5"/>
      <c r="AT16" s="5"/>
      <c r="AU16" s="5"/>
      <c r="AV16" s="5"/>
    </row>
    <row r="17" spans="2:40" ht="11.25" customHeight="1" x14ac:dyDescent="0.25">
      <c r="B17" s="18">
        <v>1</v>
      </c>
      <c r="C17" s="18">
        <v>1</v>
      </c>
      <c r="D17" s="18">
        <v>1</v>
      </c>
      <c r="E17" s="18">
        <v>1</v>
      </c>
      <c r="F17" s="18">
        <v>1</v>
      </c>
      <c r="G17" s="29"/>
      <c r="H17" s="18" t="str">
        <f t="shared" si="33"/>
        <v/>
      </c>
      <c r="I17" s="18" t="str">
        <f t="shared" si="33"/>
        <v/>
      </c>
      <c r="J17" s="18" t="str">
        <f t="shared" si="33"/>
        <v/>
      </c>
      <c r="K17" s="18" t="str">
        <f t="shared" si="33"/>
        <v/>
      </c>
      <c r="L17" s="18" t="str">
        <f t="shared" si="33"/>
        <v/>
      </c>
      <c r="M17" s="29"/>
      <c r="N17" s="18">
        <v>1</v>
      </c>
      <c r="O17" s="18">
        <v>1</v>
      </c>
      <c r="P17" s="18">
        <v>1</v>
      </c>
      <c r="Q17" s="18">
        <v>1</v>
      </c>
      <c r="R17" s="18">
        <v>1</v>
      </c>
      <c r="T17" s="3" t="s">
        <v>2</v>
      </c>
      <c r="U17" s="3" t="s">
        <v>2</v>
      </c>
      <c r="V17" s="3" t="s">
        <v>0</v>
      </c>
      <c r="X17" s="21">
        <f t="shared" si="18"/>
        <v>0</v>
      </c>
      <c r="Y17" s="21">
        <f t="shared" si="19"/>
        <v>0</v>
      </c>
      <c r="Z17" s="21">
        <f t="shared" si="20"/>
        <v>0</v>
      </c>
      <c r="AA17" s="21">
        <f t="shared" si="21"/>
        <v>0</v>
      </c>
      <c r="AB17" s="21">
        <f t="shared" si="22"/>
        <v>0</v>
      </c>
      <c r="AC17" s="19"/>
      <c r="AD17" s="20">
        <f t="shared" si="23"/>
        <v>0</v>
      </c>
      <c r="AE17" s="20">
        <f t="shared" si="24"/>
        <v>0</v>
      </c>
      <c r="AF17" s="20">
        <f t="shared" si="25"/>
        <v>0</v>
      </c>
      <c r="AG17" s="20">
        <f t="shared" si="26"/>
        <v>0</v>
      </c>
      <c r="AH17" s="20">
        <f t="shared" si="27"/>
        <v>0</v>
      </c>
      <c r="AI17" s="19"/>
      <c r="AJ17" s="20">
        <f t="shared" si="28"/>
        <v>1</v>
      </c>
      <c r="AK17" s="20">
        <f t="shared" si="29"/>
        <v>1</v>
      </c>
      <c r="AL17" s="20">
        <f t="shared" si="30"/>
        <v>1</v>
      </c>
      <c r="AM17" s="20">
        <f t="shared" si="31"/>
        <v>1</v>
      </c>
      <c r="AN17" s="20">
        <f t="shared" si="32"/>
        <v>1</v>
      </c>
    </row>
    <row r="18" spans="2:40" ht="11.25" customHeight="1" x14ac:dyDescent="0.25">
      <c r="B18" s="18">
        <v>1</v>
      </c>
      <c r="C18" s="18">
        <v>1</v>
      </c>
      <c r="D18" s="18">
        <v>1</v>
      </c>
      <c r="E18" s="18">
        <v>1</v>
      </c>
      <c r="F18" s="18">
        <v>1</v>
      </c>
      <c r="G18" s="29"/>
      <c r="H18" s="18" t="str">
        <f t="shared" si="33"/>
        <v/>
      </c>
      <c r="I18" s="18" t="str">
        <f t="shared" si="33"/>
        <v/>
      </c>
      <c r="J18" s="18" t="str">
        <f t="shared" si="33"/>
        <v/>
      </c>
      <c r="K18" s="18" t="str">
        <f t="shared" si="33"/>
        <v/>
      </c>
      <c r="L18" s="18" t="str">
        <f t="shared" si="33"/>
        <v/>
      </c>
      <c r="M18" s="29"/>
      <c r="N18" s="18">
        <v>1</v>
      </c>
      <c r="O18" s="18">
        <v>1</v>
      </c>
      <c r="P18" s="18">
        <v>1</v>
      </c>
      <c r="Q18" s="18">
        <v>1</v>
      </c>
      <c r="R18" s="18">
        <v>1</v>
      </c>
      <c r="T18" s="3" t="s">
        <v>2</v>
      </c>
      <c r="U18" s="3" t="s">
        <v>2</v>
      </c>
      <c r="V18" s="3" t="s">
        <v>0</v>
      </c>
      <c r="X18" s="21">
        <f t="shared" si="18"/>
        <v>0</v>
      </c>
      <c r="Y18" s="21">
        <f t="shared" si="19"/>
        <v>0</v>
      </c>
      <c r="Z18" s="21">
        <f t="shared" si="20"/>
        <v>0</v>
      </c>
      <c r="AA18" s="21">
        <f t="shared" si="21"/>
        <v>0</v>
      </c>
      <c r="AB18" s="21">
        <f t="shared" si="22"/>
        <v>0</v>
      </c>
      <c r="AC18" s="19"/>
      <c r="AD18" s="20">
        <f t="shared" si="23"/>
        <v>0</v>
      </c>
      <c r="AE18" s="20">
        <f t="shared" si="24"/>
        <v>0</v>
      </c>
      <c r="AF18" s="20">
        <f t="shared" si="25"/>
        <v>0</v>
      </c>
      <c r="AG18" s="20">
        <f t="shared" si="26"/>
        <v>0</v>
      </c>
      <c r="AH18" s="20">
        <f t="shared" si="27"/>
        <v>0</v>
      </c>
      <c r="AI18" s="19"/>
      <c r="AJ18" s="20">
        <f t="shared" si="28"/>
        <v>1</v>
      </c>
      <c r="AK18" s="20">
        <f t="shared" si="29"/>
        <v>1</v>
      </c>
      <c r="AL18" s="20">
        <f t="shared" si="30"/>
        <v>1</v>
      </c>
      <c r="AM18" s="20">
        <f t="shared" si="31"/>
        <v>1</v>
      </c>
      <c r="AN18" s="20">
        <f t="shared" si="32"/>
        <v>1</v>
      </c>
    </row>
    <row r="19" spans="2:40" ht="11.25" customHeight="1" x14ac:dyDescent="0.25">
      <c r="B19" s="18">
        <v>1</v>
      </c>
      <c r="C19" s="18">
        <v>1</v>
      </c>
      <c r="D19" s="18">
        <v>1</v>
      </c>
      <c r="E19" s="18">
        <v>1</v>
      </c>
      <c r="F19" s="18">
        <v>1</v>
      </c>
      <c r="G19" s="29"/>
      <c r="H19" s="18" t="str">
        <f t="shared" si="33"/>
        <v/>
      </c>
      <c r="I19" s="18" t="str">
        <f t="shared" si="33"/>
        <v/>
      </c>
      <c r="J19" s="18" t="str">
        <f t="shared" si="33"/>
        <v/>
      </c>
      <c r="K19" s="18" t="str">
        <f t="shared" si="33"/>
        <v/>
      </c>
      <c r="L19" s="18" t="str">
        <f t="shared" si="33"/>
        <v/>
      </c>
      <c r="M19" s="29"/>
      <c r="N19" s="18">
        <v>1</v>
      </c>
      <c r="O19" s="18">
        <v>1</v>
      </c>
      <c r="P19" s="18">
        <v>1</v>
      </c>
      <c r="Q19" s="18">
        <v>1</v>
      </c>
      <c r="R19" s="18">
        <v>1</v>
      </c>
      <c r="T19" s="3" t="s">
        <v>3</v>
      </c>
      <c r="U19" s="3" t="s">
        <v>3</v>
      </c>
      <c r="V19" s="3" t="s">
        <v>1</v>
      </c>
      <c r="X19" s="21">
        <f t="shared" si="18"/>
        <v>0</v>
      </c>
      <c r="Y19" s="21">
        <f t="shared" si="19"/>
        <v>0</v>
      </c>
      <c r="Z19" s="21">
        <f t="shared" si="20"/>
        <v>0</v>
      </c>
      <c r="AA19" s="21">
        <f t="shared" si="21"/>
        <v>0</v>
      </c>
      <c r="AB19" s="21">
        <f t="shared" si="22"/>
        <v>0</v>
      </c>
      <c r="AC19" s="19"/>
      <c r="AD19" s="20">
        <f t="shared" si="23"/>
        <v>0</v>
      </c>
      <c r="AE19" s="20">
        <f t="shared" si="24"/>
        <v>0</v>
      </c>
      <c r="AF19" s="20">
        <f t="shared" si="25"/>
        <v>0</v>
      </c>
      <c r="AG19" s="20">
        <f t="shared" si="26"/>
        <v>0</v>
      </c>
      <c r="AH19" s="20">
        <f t="shared" si="27"/>
        <v>0</v>
      </c>
      <c r="AI19" s="19"/>
      <c r="AJ19" s="20">
        <f t="shared" si="28"/>
        <v>1</v>
      </c>
      <c r="AK19" s="20">
        <f t="shared" si="29"/>
        <v>1</v>
      </c>
      <c r="AL19" s="20">
        <f t="shared" si="30"/>
        <v>1</v>
      </c>
      <c r="AM19" s="20">
        <f t="shared" si="31"/>
        <v>1</v>
      </c>
      <c r="AN19" s="20">
        <f t="shared" si="32"/>
        <v>1</v>
      </c>
    </row>
    <row r="20" spans="2:40" ht="11.25" customHeight="1" x14ac:dyDescent="0.25"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29"/>
      <c r="R20" s="29"/>
      <c r="T20" s="4" t="s">
        <v>13</v>
      </c>
      <c r="U20" s="5">
        <v>8</v>
      </c>
      <c r="V20" s="5">
        <v>9</v>
      </c>
      <c r="X20" s="30">
        <v>7</v>
      </c>
      <c r="Y20" s="30"/>
      <c r="Z20" s="30"/>
      <c r="AA20" s="30"/>
      <c r="AB20" s="30"/>
      <c r="AC20" s="19"/>
      <c r="AD20" s="30">
        <v>8</v>
      </c>
      <c r="AE20" s="30"/>
      <c r="AF20" s="30"/>
      <c r="AG20" s="30"/>
      <c r="AH20" s="30"/>
      <c r="AI20" s="19"/>
      <c r="AJ20" s="30">
        <v>9</v>
      </c>
      <c r="AK20" s="30"/>
      <c r="AL20" s="30"/>
      <c r="AM20" s="30"/>
      <c r="AN20" s="30"/>
    </row>
    <row r="21" spans="2:40" ht="11.25" customHeight="1" x14ac:dyDescent="0.25">
      <c r="B21" s="18">
        <v>1</v>
      </c>
      <c r="C21" s="18">
        <v>1</v>
      </c>
      <c r="D21" s="18">
        <v>1</v>
      </c>
      <c r="E21" s="18">
        <v>1</v>
      </c>
      <c r="F21" s="18">
        <v>1</v>
      </c>
      <c r="G21" s="29"/>
      <c r="H21" s="20">
        <v>1</v>
      </c>
      <c r="I21" s="20">
        <v>0</v>
      </c>
      <c r="J21" s="20">
        <v>0</v>
      </c>
      <c r="K21" s="20">
        <v>0</v>
      </c>
      <c r="L21" s="20">
        <v>1</v>
      </c>
      <c r="M21" s="29"/>
      <c r="N21" s="18">
        <v>1</v>
      </c>
      <c r="O21" s="18">
        <v>1</v>
      </c>
      <c r="P21" s="18">
        <v>1</v>
      </c>
      <c r="Q21" s="18">
        <v>1</v>
      </c>
      <c r="R21" s="18">
        <v>1</v>
      </c>
      <c r="T21" s="3" t="s">
        <v>10</v>
      </c>
      <c r="U21" s="3" t="s">
        <v>0</v>
      </c>
      <c r="V21" s="3" t="s">
        <v>4</v>
      </c>
      <c r="X21" s="21">
        <f>IF(MID(T21,2,1)="1",1,0)</f>
        <v>1</v>
      </c>
      <c r="Y21" s="21">
        <f>IF(MID(T21,3,1)="1",1,0)</f>
        <v>1</v>
      </c>
      <c r="Z21" s="21">
        <f>IF(MID(T21,4,1)="1",1,0)</f>
        <v>1</v>
      </c>
      <c r="AA21" s="21">
        <f>IF(MID(T21,5,1)="1",1,0)</f>
        <v>0</v>
      </c>
      <c r="AB21" s="21">
        <f>IF(MID(T21,6,1)="1",1,0)</f>
        <v>0</v>
      </c>
      <c r="AC21" s="19"/>
      <c r="AD21" s="20">
        <f>IF(MID(U21,2,1)="1",1,0)</f>
        <v>1</v>
      </c>
      <c r="AE21" s="20">
        <f>IF(MID(U21,2,1)="1",1,0)</f>
        <v>1</v>
      </c>
      <c r="AF21" s="20">
        <f>IF(MID(U21,2,1)="1",1,0)</f>
        <v>1</v>
      </c>
      <c r="AG21" s="20">
        <f>IF(MID(U21,2,1)="1",1,0)</f>
        <v>1</v>
      </c>
      <c r="AH21" s="20">
        <f>IF(MID(U21,2,1)="1",1,0)</f>
        <v>1</v>
      </c>
      <c r="AI21" s="19"/>
      <c r="AJ21" s="20">
        <f>IF(MID(V21,2,1)="1",1,0)</f>
        <v>0</v>
      </c>
      <c r="AK21" s="20">
        <f>IF(MID(V21,3,1)="1",1,0)</f>
        <v>0</v>
      </c>
      <c r="AL21" s="20">
        <f>IF(MID(V21,4,1)="1",1,0)</f>
        <v>0</v>
      </c>
      <c r="AM21" s="20">
        <f>IF(MID(V21,5,1)="1",1,0)</f>
        <v>1</v>
      </c>
      <c r="AN21" s="20">
        <f>IF(MID(V21,6,1)="1",1,0)</f>
        <v>1</v>
      </c>
    </row>
    <row r="22" spans="2:40" ht="11.25" customHeight="1" x14ac:dyDescent="0.25">
      <c r="B22" s="18">
        <v>0</v>
      </c>
      <c r="C22" s="18">
        <v>1</v>
      </c>
      <c r="D22" s="18">
        <v>1</v>
      </c>
      <c r="E22" s="18">
        <v>1</v>
      </c>
      <c r="F22" s="18">
        <v>1</v>
      </c>
      <c r="G22" s="29"/>
      <c r="H22" s="20">
        <v>1</v>
      </c>
      <c r="I22" s="20">
        <v>1</v>
      </c>
      <c r="J22" s="20">
        <v>1</v>
      </c>
      <c r="K22" s="20">
        <v>1</v>
      </c>
      <c r="L22" s="20">
        <v>1</v>
      </c>
      <c r="M22" s="29"/>
      <c r="N22" s="18">
        <v>1</v>
      </c>
      <c r="O22" s="18">
        <v>1</v>
      </c>
      <c r="P22" s="18">
        <v>1</v>
      </c>
      <c r="Q22" s="18">
        <v>1</v>
      </c>
      <c r="R22" s="18">
        <v>0</v>
      </c>
      <c r="T22" s="3" t="s">
        <v>6</v>
      </c>
      <c r="U22" s="3" t="s">
        <v>0</v>
      </c>
      <c r="V22" s="3" t="s">
        <v>9</v>
      </c>
      <c r="X22" s="21">
        <f t="shared" ref="X22:X28" si="34">IF(MID(T22,2,1)="1",1,0)</f>
        <v>1</v>
      </c>
      <c r="Y22" s="21">
        <f t="shared" ref="Y22:Y28" si="35">IF(MID(T22,3,1)="1",1,0)</f>
        <v>1</v>
      </c>
      <c r="Z22" s="21">
        <f t="shared" ref="Z22:Z28" si="36">IF(MID(T22,4,1)="1",1,0)</f>
        <v>1</v>
      </c>
      <c r="AA22" s="21">
        <f t="shared" ref="AA22:AA28" si="37">IF(MID(T22,5,1)="1",1,0)</f>
        <v>1</v>
      </c>
      <c r="AB22" s="21">
        <f t="shared" ref="AB22:AB28" si="38">IF(MID(T22,6,1)="1",1,0)</f>
        <v>0</v>
      </c>
      <c r="AC22" s="19"/>
      <c r="AD22" s="20">
        <f t="shared" ref="AD22:AD28" si="39">IF(MID(U22,2,1)="1",1,0)</f>
        <v>1</v>
      </c>
      <c r="AE22" s="20">
        <f t="shared" ref="AE22:AE28" si="40">IF(MID(U22,2,1)="1",1,0)</f>
        <v>1</v>
      </c>
      <c r="AF22" s="20">
        <f t="shared" ref="AF22:AF28" si="41">IF(MID(U22,2,1)="1",1,0)</f>
        <v>1</v>
      </c>
      <c r="AG22" s="20">
        <f t="shared" ref="AG22:AG28" si="42">IF(MID(U22,2,1)="1",1,0)</f>
        <v>1</v>
      </c>
      <c r="AH22" s="20">
        <f t="shared" ref="AH22:AH28" si="43">IF(MID(U22,2,1)="1",1,0)</f>
        <v>1</v>
      </c>
      <c r="AI22" s="19"/>
      <c r="AJ22" s="20">
        <f t="shared" ref="AJ22:AJ28" si="44">IF(MID(V22,2,1)="1",1,0)</f>
        <v>0</v>
      </c>
      <c r="AK22" s="20">
        <f t="shared" ref="AK22:AK28" si="45">IF(MID(V22,3,1)="1",1,0)</f>
        <v>0</v>
      </c>
      <c r="AL22" s="20">
        <f t="shared" ref="AL22:AL28" si="46">IF(MID(V22,4,1)="1",1,0)</f>
        <v>1</v>
      </c>
      <c r="AM22" s="20">
        <f t="shared" ref="AM22:AM28" si="47">IF(MID(V22,5,1)="1",1,0)</f>
        <v>1</v>
      </c>
      <c r="AN22" s="20">
        <f t="shared" ref="AN22:AN28" si="48">IF(MID(V22,6,1)="1",1,0)</f>
        <v>1</v>
      </c>
    </row>
    <row r="23" spans="2:40" ht="11.25" customHeight="1" x14ac:dyDescent="0.25">
      <c r="B23" s="18" t="str">
        <f t="shared" ref="B23:F28" si="49">IF($AT$5=1,X5,IF($AT$5=2,AD5,IF($AT$5=3,AJ5,IF($AT$5=4,X14,IF($AT$5=5,AD14,IF($AT$5=6,AJ14,IF($AT$5=7,X23,IF($AT$5=8,AD23,IF($AT$5="b",1,IF($AT$5="w",0,IF($AT$5=9,AJ23,"")))))))))))</f>
        <v/>
      </c>
      <c r="C23" s="18">
        <v>1</v>
      </c>
      <c r="D23" s="18">
        <v>1</v>
      </c>
      <c r="E23" s="18">
        <v>1</v>
      </c>
      <c r="F23" s="18">
        <v>1</v>
      </c>
      <c r="G23" s="29"/>
      <c r="H23" s="20">
        <v>1</v>
      </c>
      <c r="I23" s="20">
        <v>1</v>
      </c>
      <c r="J23" s="20">
        <v>1</v>
      </c>
      <c r="K23" s="20">
        <v>1</v>
      </c>
      <c r="L23" s="20">
        <v>1</v>
      </c>
      <c r="M23" s="29"/>
      <c r="N23" s="18">
        <v>1</v>
      </c>
      <c r="O23" s="18">
        <v>1</v>
      </c>
      <c r="P23" s="18">
        <v>1</v>
      </c>
      <c r="Q23" s="18">
        <v>1</v>
      </c>
      <c r="R23" s="18" t="str">
        <f t="shared" ref="N23:R28" si="50">IF($AV$5=1,AB5,IF($AV$5=2,AH5,IF($AV$5=3,AN5,IF($AV$5=4,AB14,IF($AV$5=5,AH14,IF($AV$5=6,AN14,IF($AV$5=7,AB23,IF($AV$5=8,AH23,IF($AV$5="b",1,IF($AV$5="w",0,IF($AV$5=9,AN23,"")))))))))))</f>
        <v/>
      </c>
      <c r="T23" s="3" t="s">
        <v>0</v>
      </c>
      <c r="U23" s="3" t="s">
        <v>0</v>
      </c>
      <c r="V23" s="3" t="s">
        <v>5</v>
      </c>
      <c r="X23" s="21">
        <f t="shared" si="34"/>
        <v>1</v>
      </c>
      <c r="Y23" s="21">
        <f t="shared" si="35"/>
        <v>1</v>
      </c>
      <c r="Z23" s="21">
        <f t="shared" si="36"/>
        <v>1</v>
      </c>
      <c r="AA23" s="21">
        <f t="shared" si="37"/>
        <v>1</v>
      </c>
      <c r="AB23" s="21">
        <f t="shared" si="38"/>
        <v>1</v>
      </c>
      <c r="AC23" s="19"/>
      <c r="AD23" s="20">
        <f t="shared" si="39"/>
        <v>1</v>
      </c>
      <c r="AE23" s="20">
        <f t="shared" si="40"/>
        <v>1</v>
      </c>
      <c r="AF23" s="20">
        <f t="shared" si="41"/>
        <v>1</v>
      </c>
      <c r="AG23" s="20">
        <f t="shared" si="42"/>
        <v>1</v>
      </c>
      <c r="AH23" s="20">
        <f t="shared" si="43"/>
        <v>1</v>
      </c>
      <c r="AI23" s="19"/>
      <c r="AJ23" s="20">
        <f t="shared" si="44"/>
        <v>0</v>
      </c>
      <c r="AK23" s="20">
        <f t="shared" si="45"/>
        <v>1</v>
      </c>
      <c r="AL23" s="20">
        <f t="shared" si="46"/>
        <v>1</v>
      </c>
      <c r="AM23" s="20">
        <f t="shared" si="47"/>
        <v>1</v>
      </c>
      <c r="AN23" s="20">
        <f t="shared" si="48"/>
        <v>1</v>
      </c>
    </row>
    <row r="24" spans="2:40" ht="11.25" customHeight="1" x14ac:dyDescent="0.25">
      <c r="B24" s="18" t="str">
        <f t="shared" si="49"/>
        <v/>
      </c>
      <c r="C24" s="18" t="str">
        <f t="shared" si="49"/>
        <v/>
      </c>
      <c r="D24" s="18">
        <v>1</v>
      </c>
      <c r="E24" s="18">
        <v>1</v>
      </c>
      <c r="F24" s="18">
        <v>1</v>
      </c>
      <c r="G24" s="29"/>
      <c r="H24" s="20">
        <v>1</v>
      </c>
      <c r="I24" s="20">
        <v>1</v>
      </c>
      <c r="J24" s="20">
        <v>1</v>
      </c>
      <c r="K24" s="20">
        <v>1</v>
      </c>
      <c r="L24" s="20">
        <v>1</v>
      </c>
      <c r="M24" s="29"/>
      <c r="N24" s="18">
        <v>1</v>
      </c>
      <c r="O24" s="18">
        <v>1</v>
      </c>
      <c r="P24" s="18">
        <v>1</v>
      </c>
      <c r="Q24" s="18" t="str">
        <f t="shared" si="50"/>
        <v/>
      </c>
      <c r="R24" s="18" t="str">
        <f t="shared" si="50"/>
        <v/>
      </c>
      <c r="T24" s="3" t="s">
        <v>0</v>
      </c>
      <c r="U24" s="3" t="s">
        <v>0</v>
      </c>
      <c r="V24" s="3" t="s">
        <v>0</v>
      </c>
      <c r="X24" s="21">
        <f t="shared" si="34"/>
        <v>1</v>
      </c>
      <c r="Y24" s="21">
        <f t="shared" si="35"/>
        <v>1</v>
      </c>
      <c r="Z24" s="21">
        <f t="shared" si="36"/>
        <v>1</v>
      </c>
      <c r="AA24" s="21">
        <f t="shared" si="37"/>
        <v>1</v>
      </c>
      <c r="AB24" s="21">
        <f t="shared" si="38"/>
        <v>1</v>
      </c>
      <c r="AC24" s="19"/>
      <c r="AD24" s="20">
        <f t="shared" si="39"/>
        <v>1</v>
      </c>
      <c r="AE24" s="20">
        <f t="shared" si="40"/>
        <v>1</v>
      </c>
      <c r="AF24" s="20">
        <f t="shared" si="41"/>
        <v>1</v>
      </c>
      <c r="AG24" s="20">
        <f t="shared" si="42"/>
        <v>1</v>
      </c>
      <c r="AH24" s="20">
        <f t="shared" si="43"/>
        <v>1</v>
      </c>
      <c r="AI24" s="19"/>
      <c r="AJ24" s="20">
        <f t="shared" si="44"/>
        <v>1</v>
      </c>
      <c r="AK24" s="20">
        <f t="shared" si="45"/>
        <v>1</v>
      </c>
      <c r="AL24" s="20">
        <f t="shared" si="46"/>
        <v>1</v>
      </c>
      <c r="AM24" s="20">
        <f t="shared" si="47"/>
        <v>1</v>
      </c>
      <c r="AN24" s="20">
        <f t="shared" si="48"/>
        <v>1</v>
      </c>
    </row>
    <row r="25" spans="2:40" ht="11.25" customHeight="1" x14ac:dyDescent="0.25">
      <c r="B25" s="18" t="str">
        <f t="shared" si="49"/>
        <v/>
      </c>
      <c r="C25" s="18" t="str">
        <f t="shared" si="49"/>
        <v/>
      </c>
      <c r="D25" s="18" t="str">
        <f t="shared" si="49"/>
        <v/>
      </c>
      <c r="E25" s="18">
        <v>1</v>
      </c>
      <c r="F25" s="18">
        <v>1</v>
      </c>
      <c r="G25" s="29"/>
      <c r="H25" s="20">
        <v>1</v>
      </c>
      <c r="I25" s="20">
        <v>1</v>
      </c>
      <c r="J25" s="20">
        <v>1</v>
      </c>
      <c r="K25" s="20">
        <v>1</v>
      </c>
      <c r="L25" s="20">
        <v>1</v>
      </c>
      <c r="M25" s="29"/>
      <c r="N25" s="18">
        <v>1</v>
      </c>
      <c r="O25" s="18">
        <v>1</v>
      </c>
      <c r="P25" s="18" t="str">
        <f t="shared" si="50"/>
        <v/>
      </c>
      <c r="Q25" s="18" t="str">
        <f t="shared" si="50"/>
        <v/>
      </c>
      <c r="R25" s="18" t="str">
        <f t="shared" si="50"/>
        <v/>
      </c>
      <c r="T25" s="3" t="s">
        <v>0</v>
      </c>
      <c r="U25" s="3" t="s">
        <v>0</v>
      </c>
      <c r="V25" s="3" t="s">
        <v>2</v>
      </c>
      <c r="X25" s="21">
        <f t="shared" si="34"/>
        <v>1</v>
      </c>
      <c r="Y25" s="21">
        <f t="shared" si="35"/>
        <v>1</v>
      </c>
      <c r="Z25" s="21">
        <f t="shared" si="36"/>
        <v>1</v>
      </c>
      <c r="AA25" s="21">
        <f t="shared" si="37"/>
        <v>1</v>
      </c>
      <c r="AB25" s="21">
        <f t="shared" si="38"/>
        <v>1</v>
      </c>
      <c r="AC25" s="19"/>
      <c r="AD25" s="20">
        <f t="shared" si="39"/>
        <v>1</v>
      </c>
      <c r="AE25" s="20">
        <f t="shared" si="40"/>
        <v>1</v>
      </c>
      <c r="AF25" s="20">
        <f t="shared" si="41"/>
        <v>1</v>
      </c>
      <c r="AG25" s="20">
        <f t="shared" si="42"/>
        <v>1</v>
      </c>
      <c r="AH25" s="20">
        <f t="shared" si="43"/>
        <v>1</v>
      </c>
      <c r="AI25" s="19"/>
      <c r="AJ25" s="20">
        <f t="shared" si="44"/>
        <v>0</v>
      </c>
      <c r="AK25" s="20">
        <f t="shared" si="45"/>
        <v>0</v>
      </c>
      <c r="AL25" s="20">
        <f t="shared" si="46"/>
        <v>0</v>
      </c>
      <c r="AM25" s="20">
        <f t="shared" si="47"/>
        <v>0</v>
      </c>
      <c r="AN25" s="20">
        <f t="shared" si="48"/>
        <v>0</v>
      </c>
    </row>
    <row r="26" spans="2:40" ht="11.25" customHeight="1" x14ac:dyDescent="0.25">
      <c r="B26" s="18" t="str">
        <f t="shared" si="49"/>
        <v/>
      </c>
      <c r="C26" s="18" t="str">
        <f t="shared" si="49"/>
        <v/>
      </c>
      <c r="D26" s="18" t="str">
        <f t="shared" si="49"/>
        <v/>
      </c>
      <c r="E26" s="18" t="str">
        <f t="shared" si="49"/>
        <v/>
      </c>
      <c r="F26" s="18">
        <v>1</v>
      </c>
      <c r="G26" s="29"/>
      <c r="H26" s="20">
        <v>1</v>
      </c>
      <c r="I26" s="20">
        <v>1</v>
      </c>
      <c r="J26" s="20">
        <v>1</v>
      </c>
      <c r="K26" s="20">
        <v>1</v>
      </c>
      <c r="L26" s="20">
        <v>1</v>
      </c>
      <c r="M26" s="29"/>
      <c r="N26" s="18">
        <v>1</v>
      </c>
      <c r="O26" s="18" t="str">
        <f t="shared" si="50"/>
        <v/>
      </c>
      <c r="P26" s="18" t="str">
        <f t="shared" si="50"/>
        <v/>
      </c>
      <c r="Q26" s="18" t="str">
        <f t="shared" si="50"/>
        <v/>
      </c>
      <c r="R26" s="18" t="str">
        <f t="shared" si="50"/>
        <v/>
      </c>
      <c r="T26" s="3" t="s">
        <v>0</v>
      </c>
      <c r="U26" s="3" t="s">
        <v>0</v>
      </c>
      <c r="V26" s="3" t="s">
        <v>2</v>
      </c>
      <c r="X26" s="21">
        <f t="shared" si="34"/>
        <v>1</v>
      </c>
      <c r="Y26" s="21">
        <f t="shared" si="35"/>
        <v>1</v>
      </c>
      <c r="Z26" s="21">
        <f t="shared" si="36"/>
        <v>1</v>
      </c>
      <c r="AA26" s="21">
        <f t="shared" si="37"/>
        <v>1</v>
      </c>
      <c r="AB26" s="21">
        <f t="shared" si="38"/>
        <v>1</v>
      </c>
      <c r="AC26" s="19"/>
      <c r="AD26" s="20">
        <f t="shared" si="39"/>
        <v>1</v>
      </c>
      <c r="AE26" s="20">
        <f t="shared" si="40"/>
        <v>1</v>
      </c>
      <c r="AF26" s="20">
        <f t="shared" si="41"/>
        <v>1</v>
      </c>
      <c r="AG26" s="20">
        <f t="shared" si="42"/>
        <v>1</v>
      </c>
      <c r="AH26" s="20">
        <f t="shared" si="43"/>
        <v>1</v>
      </c>
      <c r="AI26" s="19"/>
      <c r="AJ26" s="20">
        <f t="shared" si="44"/>
        <v>0</v>
      </c>
      <c r="AK26" s="20">
        <f t="shared" si="45"/>
        <v>0</v>
      </c>
      <c r="AL26" s="20">
        <f t="shared" si="46"/>
        <v>0</v>
      </c>
      <c r="AM26" s="20">
        <f t="shared" si="47"/>
        <v>0</v>
      </c>
      <c r="AN26" s="20">
        <f t="shared" si="48"/>
        <v>0</v>
      </c>
    </row>
    <row r="27" spans="2:40" ht="11.25" customHeight="1" x14ac:dyDescent="0.25">
      <c r="B27" s="18" t="str">
        <f t="shared" si="49"/>
        <v/>
      </c>
      <c r="C27" s="18" t="str">
        <f t="shared" si="49"/>
        <v/>
      </c>
      <c r="D27" s="18" t="str">
        <f t="shared" si="49"/>
        <v/>
      </c>
      <c r="E27" s="18" t="str">
        <f t="shared" si="49"/>
        <v/>
      </c>
      <c r="F27" s="18" t="str">
        <f t="shared" si="49"/>
        <v/>
      </c>
      <c r="G27" s="29"/>
      <c r="H27" s="20" t="str">
        <f t="shared" ref="H27" si="51">IF($AU$5=1,X9,IF($AU$5=2,AD9,IF($AU$5=3,AJ9,IF($AU$5=4,X18,IF($AU$5=5,AD18,IF($AU$5=6,AJ18,IF($AU$5=7,X27,IF($AU$5=8,AD27,IF($AU$5="b",1,IF($AU$5="w",0,IF($AU$5=9,AJ27,"")))))))))))</f>
        <v/>
      </c>
      <c r="I27" s="20">
        <v>1</v>
      </c>
      <c r="J27" s="20">
        <v>1</v>
      </c>
      <c r="K27" s="20">
        <v>1</v>
      </c>
      <c r="L27" s="20">
        <v>0</v>
      </c>
      <c r="M27" s="29"/>
      <c r="N27" s="18" t="str">
        <f t="shared" si="50"/>
        <v/>
      </c>
      <c r="O27" s="18" t="str">
        <f t="shared" si="50"/>
        <v/>
      </c>
      <c r="P27" s="18" t="str">
        <f t="shared" si="50"/>
        <v/>
      </c>
      <c r="Q27" s="18" t="str">
        <f t="shared" si="50"/>
        <v/>
      </c>
      <c r="R27" s="18" t="str">
        <f t="shared" si="50"/>
        <v/>
      </c>
      <c r="T27" s="3" t="s">
        <v>0</v>
      </c>
      <c r="U27" s="3" t="s">
        <v>0</v>
      </c>
      <c r="V27" s="3" t="s">
        <v>2</v>
      </c>
      <c r="X27" s="21">
        <f t="shared" si="34"/>
        <v>1</v>
      </c>
      <c r="Y27" s="21">
        <f t="shared" si="35"/>
        <v>1</v>
      </c>
      <c r="Z27" s="21">
        <f t="shared" si="36"/>
        <v>1</v>
      </c>
      <c r="AA27" s="21">
        <f t="shared" si="37"/>
        <v>1</v>
      </c>
      <c r="AB27" s="21">
        <f t="shared" si="38"/>
        <v>1</v>
      </c>
      <c r="AC27" s="19"/>
      <c r="AD27" s="20">
        <f t="shared" si="39"/>
        <v>1</v>
      </c>
      <c r="AE27" s="20">
        <f t="shared" si="40"/>
        <v>1</v>
      </c>
      <c r="AF27" s="20">
        <f t="shared" si="41"/>
        <v>1</v>
      </c>
      <c r="AG27" s="20">
        <f t="shared" si="42"/>
        <v>1</v>
      </c>
      <c r="AH27" s="20">
        <f t="shared" si="43"/>
        <v>1</v>
      </c>
      <c r="AI27" s="19"/>
      <c r="AJ27" s="20">
        <f t="shared" si="44"/>
        <v>0</v>
      </c>
      <c r="AK27" s="20">
        <f t="shared" si="45"/>
        <v>0</v>
      </c>
      <c r="AL27" s="20">
        <f t="shared" si="46"/>
        <v>0</v>
      </c>
      <c r="AM27" s="20">
        <f t="shared" si="47"/>
        <v>0</v>
      </c>
      <c r="AN27" s="20">
        <f t="shared" si="48"/>
        <v>0</v>
      </c>
    </row>
    <row r="28" spans="2:40" ht="11.25" customHeight="1" x14ac:dyDescent="0.25">
      <c r="B28" s="18" t="str">
        <f t="shared" si="49"/>
        <v/>
      </c>
      <c r="C28" s="18" t="str">
        <f t="shared" si="49"/>
        <v/>
      </c>
      <c r="D28" s="18" t="str">
        <f t="shared" si="49"/>
        <v/>
      </c>
      <c r="E28" s="18" t="str">
        <f t="shared" si="49"/>
        <v/>
      </c>
      <c r="F28" s="18" t="str">
        <f t="shared" si="49"/>
        <v/>
      </c>
      <c r="G28" s="29"/>
      <c r="H28" s="20">
        <v>0</v>
      </c>
      <c r="I28" s="20">
        <v>0</v>
      </c>
      <c r="J28" s="20">
        <v>0</v>
      </c>
      <c r="K28" s="20">
        <v>0</v>
      </c>
      <c r="L28" s="20">
        <v>0</v>
      </c>
      <c r="M28" s="29"/>
      <c r="N28" s="18" t="str">
        <f t="shared" si="50"/>
        <v/>
      </c>
      <c r="O28" s="18" t="str">
        <f t="shared" si="50"/>
        <v/>
      </c>
      <c r="P28" s="18" t="str">
        <f t="shared" si="50"/>
        <v/>
      </c>
      <c r="Q28" s="18" t="str">
        <f t="shared" si="50"/>
        <v/>
      </c>
      <c r="R28" s="18" t="str">
        <f t="shared" si="50"/>
        <v/>
      </c>
      <c r="T28" s="3" t="s">
        <v>1</v>
      </c>
      <c r="U28" s="3" t="s">
        <v>1</v>
      </c>
      <c r="V28" s="3" t="s">
        <v>3</v>
      </c>
      <c r="X28" s="21">
        <f t="shared" si="34"/>
        <v>1</v>
      </c>
      <c r="Y28" s="21">
        <f t="shared" si="35"/>
        <v>1</v>
      </c>
      <c r="Z28" s="21">
        <f t="shared" si="36"/>
        <v>1</v>
      </c>
      <c r="AA28" s="21">
        <f t="shared" si="37"/>
        <v>1</v>
      </c>
      <c r="AB28" s="21">
        <f t="shared" si="38"/>
        <v>1</v>
      </c>
      <c r="AC28" s="19"/>
      <c r="AD28" s="20">
        <f t="shared" si="39"/>
        <v>1</v>
      </c>
      <c r="AE28" s="20">
        <f t="shared" si="40"/>
        <v>1</v>
      </c>
      <c r="AF28" s="20">
        <f t="shared" si="41"/>
        <v>1</v>
      </c>
      <c r="AG28" s="20">
        <f t="shared" si="42"/>
        <v>1</v>
      </c>
      <c r="AH28" s="20">
        <f t="shared" si="43"/>
        <v>1</v>
      </c>
      <c r="AI28" s="19"/>
      <c r="AJ28" s="20">
        <f t="shared" si="44"/>
        <v>0</v>
      </c>
      <c r="AK28" s="20">
        <f t="shared" si="45"/>
        <v>0</v>
      </c>
      <c r="AL28" s="20">
        <f t="shared" si="46"/>
        <v>0</v>
      </c>
      <c r="AM28" s="20">
        <f t="shared" si="47"/>
        <v>0</v>
      </c>
      <c r="AN28" s="20">
        <f t="shared" si="48"/>
        <v>0</v>
      </c>
    </row>
    <row r="30" spans="2:40" x14ac:dyDescent="0.25">
      <c r="C30" s="1" t="str">
        <f>"{{"&amp;CHAR(34)&amp;AP3&amp;CHAR(34)&amp;","&amp;CHAR(34)&amp;AQ3&amp;CHAR(34)&amp;","&amp;CHAR(34)&amp;AR3&amp;CHAR(34)&amp;"},{"&amp;CHAR(34)&amp;AP4&amp;CHAR(34)&amp;","&amp;CHAR(34)&amp;AQ4&amp;CHAR(34)&amp;","&amp;CHAR(34)&amp;AR4&amp;CHAR(34)&amp;"},{"&amp;CHAR(34)&amp;AP5&amp;CHAR(34)&amp;","&amp;CHAR(34)&amp;AQ5&amp;CHAR(34)&amp;","&amp;CHAR(34)&amp;AR5&amp;CHAR(34)&amp;"}}"&amp;";"</f>
        <v>{{"6","3","7"},{"b","w","b"},{"5","3","4"}};</v>
      </c>
    </row>
    <row r="31" spans="2:40" x14ac:dyDescent="0.25">
      <c r="C31" s="1" t="str">
        <f>"{{"&amp;AP3&amp;","&amp;AQ3&amp;","&amp;AR3&amp;"},{"&amp;AP4&amp;","&amp;AQ4&amp;","&amp;AR4&amp;"},{"&amp;AP5&amp;","&amp;AQ5&amp;","&amp;AR5&amp;"}}"&amp;";"</f>
        <v>{{6,3,7},{b,w,b},{5,3,4}};</v>
      </c>
    </row>
    <row r="33" spans="1:18" x14ac:dyDescent="0.25">
      <c r="B33" s="21">
        <v>0</v>
      </c>
      <c r="C33" s="21">
        <v>0</v>
      </c>
      <c r="D33" s="21">
        <v>0</v>
      </c>
      <c r="E33" s="21">
        <v>0</v>
      </c>
      <c r="F33" s="21">
        <v>0</v>
      </c>
      <c r="G33" s="29"/>
      <c r="H33" s="20">
        <v>0</v>
      </c>
      <c r="I33" s="20">
        <v>0</v>
      </c>
      <c r="J33" s="20">
        <v>0</v>
      </c>
      <c r="K33" s="20">
        <v>0</v>
      </c>
      <c r="L33" s="20">
        <v>0</v>
      </c>
      <c r="M33" s="29"/>
      <c r="N33" s="20">
        <v>0</v>
      </c>
      <c r="O33" s="20">
        <v>0</v>
      </c>
      <c r="P33" s="20">
        <v>0</v>
      </c>
      <c r="Q33" s="20">
        <v>0</v>
      </c>
      <c r="R33" s="20">
        <v>0</v>
      </c>
    </row>
    <row r="34" spans="1:18" x14ac:dyDescent="0.25">
      <c r="B34" s="21">
        <v>0</v>
      </c>
      <c r="C34" s="21">
        <v>0</v>
      </c>
      <c r="D34" s="21">
        <v>0</v>
      </c>
      <c r="E34" s="21">
        <v>0</v>
      </c>
      <c r="F34" s="21">
        <v>0</v>
      </c>
      <c r="G34" s="29"/>
      <c r="H34" s="20">
        <v>0</v>
      </c>
      <c r="I34" s="20">
        <v>0</v>
      </c>
      <c r="J34" s="20">
        <v>0</v>
      </c>
      <c r="K34" s="20">
        <v>0</v>
      </c>
      <c r="L34" s="20">
        <v>0</v>
      </c>
      <c r="M34" s="29"/>
      <c r="N34" s="20">
        <v>0</v>
      </c>
      <c r="O34" s="20">
        <v>0</v>
      </c>
      <c r="P34" s="20">
        <v>0</v>
      </c>
      <c r="Q34" s="20">
        <v>0</v>
      </c>
      <c r="R34" s="20">
        <v>0</v>
      </c>
    </row>
    <row r="35" spans="1:18" x14ac:dyDescent="0.25">
      <c r="B35" s="21">
        <v>0</v>
      </c>
      <c r="C35" s="21">
        <v>0</v>
      </c>
      <c r="D35" s="21">
        <v>0</v>
      </c>
      <c r="E35" s="21">
        <v>0</v>
      </c>
      <c r="F35" s="21">
        <v>0</v>
      </c>
      <c r="G35" s="29"/>
      <c r="H35" s="20">
        <v>0</v>
      </c>
      <c r="I35" s="20">
        <v>0</v>
      </c>
      <c r="J35" s="20">
        <v>0</v>
      </c>
      <c r="K35" s="20">
        <v>0</v>
      </c>
      <c r="L35" s="20">
        <v>0</v>
      </c>
      <c r="M35" s="29"/>
      <c r="N35" s="20">
        <v>0</v>
      </c>
      <c r="O35" s="20">
        <v>0</v>
      </c>
      <c r="P35" s="20">
        <v>0</v>
      </c>
      <c r="Q35" s="20">
        <v>0</v>
      </c>
      <c r="R35" s="20">
        <v>0</v>
      </c>
    </row>
    <row r="36" spans="1:18" x14ac:dyDescent="0.25">
      <c r="B36" s="21">
        <v>0</v>
      </c>
      <c r="C36" s="21">
        <v>0</v>
      </c>
      <c r="D36" s="21">
        <v>0</v>
      </c>
      <c r="E36" s="21">
        <v>0</v>
      </c>
      <c r="F36" s="21">
        <v>0</v>
      </c>
      <c r="G36" s="29"/>
      <c r="H36" s="20">
        <v>0</v>
      </c>
      <c r="I36" s="20">
        <v>1</v>
      </c>
      <c r="J36" s="20">
        <v>1</v>
      </c>
      <c r="K36" s="20">
        <v>1</v>
      </c>
      <c r="L36" s="20">
        <v>0</v>
      </c>
      <c r="M36" s="29"/>
      <c r="N36" s="20">
        <v>0</v>
      </c>
      <c r="O36" s="20">
        <v>0</v>
      </c>
      <c r="P36" s="20">
        <v>0</v>
      </c>
      <c r="Q36" s="20">
        <v>0</v>
      </c>
      <c r="R36" s="20">
        <v>0</v>
      </c>
    </row>
    <row r="37" spans="1:18" x14ac:dyDescent="0.25">
      <c r="A37" s="1"/>
      <c r="B37" s="21">
        <v>0</v>
      </c>
      <c r="C37" s="21">
        <v>0</v>
      </c>
      <c r="D37" s="21">
        <v>0</v>
      </c>
      <c r="E37" s="21">
        <v>0</v>
      </c>
      <c r="F37" s="21">
        <v>1</v>
      </c>
      <c r="G37" s="29"/>
      <c r="H37" s="20">
        <v>1</v>
      </c>
      <c r="I37" s="20">
        <v>1</v>
      </c>
      <c r="J37" s="20">
        <v>1</v>
      </c>
      <c r="K37" s="20">
        <v>1</v>
      </c>
      <c r="L37" s="20">
        <v>1</v>
      </c>
      <c r="M37" s="29"/>
      <c r="N37" s="20">
        <v>1</v>
      </c>
      <c r="O37" s="20">
        <v>0</v>
      </c>
      <c r="P37" s="20">
        <v>0</v>
      </c>
      <c r="Q37" s="20">
        <v>0</v>
      </c>
      <c r="R37" s="20">
        <v>0</v>
      </c>
    </row>
    <row r="38" spans="1:18" x14ac:dyDescent="0.25">
      <c r="A38" s="1"/>
      <c r="B38" s="21">
        <v>0</v>
      </c>
      <c r="C38" s="21">
        <v>0</v>
      </c>
      <c r="D38" s="21">
        <v>0</v>
      </c>
      <c r="E38" s="21">
        <v>1</v>
      </c>
      <c r="F38" s="21">
        <v>1</v>
      </c>
      <c r="G38" s="29"/>
      <c r="H38" s="20">
        <v>1</v>
      </c>
      <c r="I38" s="20">
        <v>1</v>
      </c>
      <c r="J38" s="20">
        <v>1</v>
      </c>
      <c r="K38" s="20">
        <v>1</v>
      </c>
      <c r="L38" s="20">
        <v>1</v>
      </c>
      <c r="M38" s="29"/>
      <c r="N38" s="20">
        <v>1</v>
      </c>
      <c r="O38" s="20">
        <v>1</v>
      </c>
      <c r="P38" s="20">
        <v>0</v>
      </c>
      <c r="Q38" s="20">
        <v>0</v>
      </c>
      <c r="R38" s="20">
        <v>0</v>
      </c>
    </row>
    <row r="39" spans="1:18" x14ac:dyDescent="0.25">
      <c r="B39" s="21">
        <v>0</v>
      </c>
      <c r="C39" s="21">
        <v>0</v>
      </c>
      <c r="D39" s="21">
        <v>1</v>
      </c>
      <c r="E39" s="21">
        <v>1</v>
      </c>
      <c r="F39" s="21">
        <v>1</v>
      </c>
      <c r="G39" s="29"/>
      <c r="H39" s="20">
        <v>1</v>
      </c>
      <c r="I39" s="20">
        <v>1</v>
      </c>
      <c r="J39" s="20">
        <v>1</v>
      </c>
      <c r="K39" s="20">
        <v>1</v>
      </c>
      <c r="L39" s="20">
        <v>1</v>
      </c>
      <c r="M39" s="29"/>
      <c r="N39" s="20">
        <v>1</v>
      </c>
      <c r="O39" s="20">
        <v>1</v>
      </c>
      <c r="P39" s="20">
        <v>1</v>
      </c>
      <c r="Q39" s="20">
        <v>0</v>
      </c>
      <c r="R39" s="20">
        <v>0</v>
      </c>
    </row>
    <row r="40" spans="1:18" x14ac:dyDescent="0.25">
      <c r="B40" s="21">
        <v>0</v>
      </c>
      <c r="C40" s="21">
        <v>1</v>
      </c>
      <c r="D40" s="21">
        <v>1</v>
      </c>
      <c r="E40" s="21">
        <v>1</v>
      </c>
      <c r="F40" s="21">
        <v>1</v>
      </c>
      <c r="G40" s="29"/>
      <c r="H40" s="20">
        <v>1</v>
      </c>
      <c r="I40" s="20">
        <v>1</v>
      </c>
      <c r="J40" s="20">
        <v>1</v>
      </c>
      <c r="K40" s="20">
        <v>1</v>
      </c>
      <c r="L40" s="20">
        <v>1</v>
      </c>
      <c r="M40" s="29"/>
      <c r="N40" s="20">
        <v>1</v>
      </c>
      <c r="O40" s="20">
        <v>1</v>
      </c>
      <c r="P40" s="20">
        <v>1</v>
      </c>
      <c r="Q40" s="20">
        <v>1</v>
      </c>
      <c r="R40" s="20">
        <v>0</v>
      </c>
    </row>
    <row r="41" spans="1:18" x14ac:dyDescent="0.25">
      <c r="B41" s="30">
        <v>4</v>
      </c>
      <c r="C41" s="30"/>
      <c r="D41" s="30"/>
      <c r="E41" s="30"/>
      <c r="F41" s="30"/>
      <c r="G41" s="29"/>
      <c r="H41" s="30">
        <v>5</v>
      </c>
      <c r="I41" s="30"/>
      <c r="J41" s="30"/>
      <c r="K41" s="30"/>
      <c r="L41" s="30"/>
      <c r="M41" s="29"/>
      <c r="N41" s="30">
        <v>6</v>
      </c>
      <c r="O41" s="30"/>
      <c r="P41" s="30"/>
      <c r="Q41" s="30"/>
      <c r="R41" s="30"/>
    </row>
    <row r="42" spans="1:18" x14ac:dyDescent="0.25">
      <c r="B42" s="21">
        <v>1</v>
      </c>
      <c r="C42" s="21">
        <v>1</v>
      </c>
      <c r="D42" s="21">
        <v>1</v>
      </c>
      <c r="E42" s="21">
        <v>1</v>
      </c>
      <c r="F42" s="21">
        <v>1</v>
      </c>
      <c r="G42" s="29"/>
      <c r="H42" s="20">
        <v>1</v>
      </c>
      <c r="I42" s="20">
        <v>1</v>
      </c>
      <c r="J42" s="20">
        <v>1</v>
      </c>
      <c r="K42" s="20">
        <v>1</v>
      </c>
      <c r="L42" s="20">
        <v>1</v>
      </c>
      <c r="M42" s="29"/>
      <c r="N42" s="20">
        <v>1</v>
      </c>
      <c r="O42" s="20">
        <v>1</v>
      </c>
      <c r="P42" s="20">
        <v>1</v>
      </c>
      <c r="Q42" s="20">
        <v>1</v>
      </c>
      <c r="R42" s="20">
        <v>1</v>
      </c>
    </row>
    <row r="43" spans="1:18" x14ac:dyDescent="0.25">
      <c r="B43" s="21">
        <v>1</v>
      </c>
      <c r="C43" s="21">
        <v>1</v>
      </c>
      <c r="D43" s="21">
        <v>1</v>
      </c>
      <c r="E43" s="21">
        <v>1</v>
      </c>
      <c r="F43" s="21">
        <v>1</v>
      </c>
      <c r="G43" s="29"/>
      <c r="H43" s="20">
        <v>1</v>
      </c>
      <c r="I43" s="20">
        <v>0</v>
      </c>
      <c r="J43" s="20">
        <v>0</v>
      </c>
      <c r="K43" s="20">
        <v>0</v>
      </c>
      <c r="L43" s="20">
        <v>1</v>
      </c>
      <c r="M43" s="29"/>
      <c r="N43" s="20">
        <v>1</v>
      </c>
      <c r="O43" s="20">
        <v>1</v>
      </c>
      <c r="P43" s="20">
        <v>1</v>
      </c>
      <c r="Q43" s="20">
        <v>1</v>
      </c>
      <c r="R43" s="20">
        <v>1</v>
      </c>
    </row>
    <row r="44" spans="1:18" x14ac:dyDescent="0.25">
      <c r="B44" s="21">
        <v>1</v>
      </c>
      <c r="C44" s="21">
        <v>1</v>
      </c>
      <c r="D44" s="21">
        <v>1</v>
      </c>
      <c r="E44" s="21">
        <v>1</v>
      </c>
      <c r="F44" s="21">
        <v>1</v>
      </c>
      <c r="G44" s="29"/>
      <c r="H44" s="20">
        <v>0</v>
      </c>
      <c r="I44" s="20">
        <v>0</v>
      </c>
      <c r="J44" s="20">
        <v>0</v>
      </c>
      <c r="K44" s="20">
        <v>0</v>
      </c>
      <c r="L44" s="20">
        <v>0</v>
      </c>
      <c r="M44" s="29"/>
      <c r="N44" s="20">
        <v>1</v>
      </c>
      <c r="O44" s="20">
        <v>1</v>
      </c>
      <c r="P44" s="20">
        <v>1</v>
      </c>
      <c r="Q44" s="20">
        <v>1</v>
      </c>
      <c r="R44" s="20">
        <v>1</v>
      </c>
    </row>
    <row r="45" spans="1:18" x14ac:dyDescent="0.25">
      <c r="B45" s="21">
        <v>1</v>
      </c>
      <c r="C45" s="21">
        <v>1</v>
      </c>
      <c r="D45" s="21">
        <v>1</v>
      </c>
      <c r="E45" s="21">
        <v>1</v>
      </c>
      <c r="F45" s="21">
        <v>1</v>
      </c>
      <c r="G45" s="29"/>
      <c r="H45" s="20">
        <v>0</v>
      </c>
      <c r="I45" s="20">
        <v>0</v>
      </c>
      <c r="J45" s="20">
        <v>0</v>
      </c>
      <c r="K45" s="20">
        <v>0</v>
      </c>
      <c r="L45" s="20">
        <v>0</v>
      </c>
      <c r="M45" s="29"/>
      <c r="N45" s="20">
        <v>1</v>
      </c>
      <c r="O45" s="20">
        <v>1</v>
      </c>
      <c r="P45" s="20">
        <v>1</v>
      </c>
      <c r="Q45" s="20">
        <v>1</v>
      </c>
      <c r="R45" s="20">
        <v>1</v>
      </c>
    </row>
    <row r="46" spans="1:18" x14ac:dyDescent="0.25">
      <c r="B46" s="21">
        <v>1</v>
      </c>
      <c r="C46" s="21">
        <v>1</v>
      </c>
      <c r="D46" s="21">
        <v>1</v>
      </c>
      <c r="E46" s="21">
        <v>1</v>
      </c>
      <c r="F46" s="21">
        <v>1</v>
      </c>
      <c r="G46" s="29"/>
      <c r="H46" s="20">
        <v>0</v>
      </c>
      <c r="I46" s="20">
        <v>0</v>
      </c>
      <c r="J46" s="20">
        <v>0</v>
      </c>
      <c r="K46" s="20">
        <v>0</v>
      </c>
      <c r="L46" s="20">
        <v>0</v>
      </c>
      <c r="M46" s="29"/>
      <c r="N46" s="20">
        <v>1</v>
      </c>
      <c r="O46" s="20">
        <v>1</v>
      </c>
      <c r="P46" s="20">
        <v>1</v>
      </c>
      <c r="Q46" s="20">
        <v>1</v>
      </c>
      <c r="R46" s="20">
        <v>1</v>
      </c>
    </row>
    <row r="47" spans="1:18" x14ac:dyDescent="0.25">
      <c r="B47" s="21">
        <v>1</v>
      </c>
      <c r="C47" s="21">
        <v>1</v>
      </c>
      <c r="D47" s="21">
        <v>1</v>
      </c>
      <c r="E47" s="21">
        <v>1</v>
      </c>
      <c r="F47" s="21">
        <v>1</v>
      </c>
      <c r="G47" s="29"/>
      <c r="H47" s="20">
        <v>0</v>
      </c>
      <c r="I47" s="20">
        <v>0</v>
      </c>
      <c r="J47" s="20">
        <v>0</v>
      </c>
      <c r="K47" s="20">
        <v>0</v>
      </c>
      <c r="L47" s="20">
        <v>0</v>
      </c>
      <c r="M47" s="29"/>
      <c r="N47" s="20">
        <v>1</v>
      </c>
      <c r="O47" s="20">
        <v>1</v>
      </c>
      <c r="P47" s="20">
        <v>1</v>
      </c>
      <c r="Q47" s="20">
        <v>1</v>
      </c>
      <c r="R47" s="20">
        <v>1</v>
      </c>
    </row>
    <row r="48" spans="1:18" x14ac:dyDescent="0.25">
      <c r="B48" s="21">
        <v>1</v>
      </c>
      <c r="C48" s="21">
        <v>1</v>
      </c>
      <c r="D48" s="21">
        <v>1</v>
      </c>
      <c r="E48" s="21">
        <v>1</v>
      </c>
      <c r="F48" s="21">
        <v>1</v>
      </c>
      <c r="G48" s="29"/>
      <c r="H48" s="20">
        <v>0</v>
      </c>
      <c r="I48" s="20">
        <v>0</v>
      </c>
      <c r="J48" s="20">
        <v>0</v>
      </c>
      <c r="K48" s="20">
        <v>0</v>
      </c>
      <c r="L48" s="20">
        <v>0</v>
      </c>
      <c r="M48" s="29"/>
      <c r="N48" s="20">
        <v>1</v>
      </c>
      <c r="O48" s="20">
        <v>1</v>
      </c>
      <c r="P48" s="20">
        <v>1</v>
      </c>
      <c r="Q48" s="20">
        <v>1</v>
      </c>
      <c r="R48" s="20">
        <v>1</v>
      </c>
    </row>
    <row r="49" spans="2:18" x14ac:dyDescent="0.25">
      <c r="B49" s="21">
        <v>1</v>
      </c>
      <c r="C49" s="21">
        <v>1</v>
      </c>
      <c r="D49" s="21">
        <v>1</v>
      </c>
      <c r="E49" s="21">
        <v>1</v>
      </c>
      <c r="F49" s="21">
        <v>1</v>
      </c>
      <c r="G49" s="29"/>
      <c r="H49" s="20">
        <v>0</v>
      </c>
      <c r="I49" s="20">
        <v>0</v>
      </c>
      <c r="J49" s="20">
        <v>0</v>
      </c>
      <c r="K49" s="20">
        <v>0</v>
      </c>
      <c r="L49" s="20">
        <v>0</v>
      </c>
      <c r="M49" s="29"/>
      <c r="N49" s="20">
        <v>1</v>
      </c>
      <c r="O49" s="20">
        <v>1</v>
      </c>
      <c r="P49" s="20">
        <v>1</v>
      </c>
      <c r="Q49" s="20">
        <v>1</v>
      </c>
      <c r="R49" s="20">
        <v>1</v>
      </c>
    </row>
    <row r="50" spans="2:18" x14ac:dyDescent="0.25">
      <c r="B50" s="30">
        <v>7</v>
      </c>
      <c r="C50" s="30"/>
      <c r="D50" s="30"/>
      <c r="E50" s="30"/>
      <c r="F50" s="30"/>
      <c r="G50" s="29"/>
      <c r="H50" s="30">
        <v>8</v>
      </c>
      <c r="I50" s="30"/>
      <c r="J50" s="30"/>
      <c r="K50" s="30"/>
      <c r="L50" s="30"/>
      <c r="M50" s="29"/>
      <c r="N50" s="30">
        <v>9</v>
      </c>
      <c r="O50" s="30"/>
      <c r="P50" s="30"/>
      <c r="Q50" s="30"/>
      <c r="R50" s="30"/>
    </row>
    <row r="51" spans="2:18" x14ac:dyDescent="0.25">
      <c r="B51" s="21">
        <v>1</v>
      </c>
      <c r="C51" s="21">
        <v>1</v>
      </c>
      <c r="D51" s="21">
        <v>1</v>
      </c>
      <c r="E51" s="21">
        <v>1</v>
      </c>
      <c r="F51" s="21">
        <v>1</v>
      </c>
      <c r="G51" s="29"/>
      <c r="H51" s="20">
        <v>0</v>
      </c>
      <c r="I51" s="20">
        <v>0</v>
      </c>
      <c r="J51" s="20">
        <v>0</v>
      </c>
      <c r="K51" s="20">
        <v>0</v>
      </c>
      <c r="L51" s="20">
        <v>0</v>
      </c>
      <c r="M51" s="29"/>
      <c r="N51" s="20">
        <v>1</v>
      </c>
      <c r="O51" s="20">
        <v>1</v>
      </c>
      <c r="P51" s="20">
        <v>1</v>
      </c>
      <c r="Q51" s="20">
        <v>1</v>
      </c>
      <c r="R51" s="20">
        <v>1</v>
      </c>
    </row>
    <row r="52" spans="2:18" x14ac:dyDescent="0.25">
      <c r="B52" s="21">
        <v>1</v>
      </c>
      <c r="C52" s="21">
        <v>1</v>
      </c>
      <c r="D52" s="21">
        <v>1</v>
      </c>
      <c r="E52" s="21">
        <v>1</v>
      </c>
      <c r="F52" s="21">
        <v>1</v>
      </c>
      <c r="G52" s="29"/>
      <c r="H52" s="20">
        <v>0</v>
      </c>
      <c r="I52" s="20">
        <v>0</v>
      </c>
      <c r="J52" s="20">
        <v>0</v>
      </c>
      <c r="K52" s="20">
        <v>0</v>
      </c>
      <c r="L52" s="20">
        <v>0</v>
      </c>
      <c r="M52" s="29"/>
      <c r="N52" s="20">
        <v>1</v>
      </c>
      <c r="O52" s="20">
        <v>1</v>
      </c>
      <c r="P52" s="20">
        <v>1</v>
      </c>
      <c r="Q52" s="20">
        <v>1</v>
      </c>
      <c r="R52" s="20">
        <v>1</v>
      </c>
    </row>
    <row r="53" spans="2:18" x14ac:dyDescent="0.25">
      <c r="B53" s="21">
        <v>1</v>
      </c>
      <c r="C53" s="21">
        <v>1</v>
      </c>
      <c r="D53" s="21">
        <v>1</v>
      </c>
      <c r="E53" s="21">
        <v>1</v>
      </c>
      <c r="F53" s="21">
        <v>1</v>
      </c>
      <c r="G53" s="29"/>
      <c r="H53" s="20">
        <v>0</v>
      </c>
      <c r="I53" s="20">
        <v>0</v>
      </c>
      <c r="J53" s="20">
        <v>0</v>
      </c>
      <c r="K53" s="20">
        <v>0</v>
      </c>
      <c r="L53" s="20">
        <v>0</v>
      </c>
      <c r="M53" s="29"/>
      <c r="N53" s="20">
        <v>1</v>
      </c>
      <c r="O53" s="20">
        <v>1</v>
      </c>
      <c r="P53" s="20">
        <v>1</v>
      </c>
      <c r="Q53" s="20">
        <v>1</v>
      </c>
      <c r="R53" s="20">
        <v>1</v>
      </c>
    </row>
    <row r="54" spans="2:18" x14ac:dyDescent="0.25">
      <c r="B54" s="21">
        <v>1</v>
      </c>
      <c r="C54" s="21">
        <v>1</v>
      </c>
      <c r="D54" s="21">
        <v>1</v>
      </c>
      <c r="E54" s="21">
        <v>1</v>
      </c>
      <c r="F54" s="21">
        <v>1</v>
      </c>
      <c r="G54" s="29"/>
      <c r="H54" s="20">
        <v>0</v>
      </c>
      <c r="I54" s="20">
        <v>0</v>
      </c>
      <c r="J54" s="20">
        <v>0</v>
      </c>
      <c r="K54" s="20">
        <v>0</v>
      </c>
      <c r="L54" s="20">
        <v>0</v>
      </c>
      <c r="M54" s="29"/>
      <c r="N54" s="20">
        <v>1</v>
      </c>
      <c r="O54" s="20">
        <v>1</v>
      </c>
      <c r="P54" s="20">
        <v>1</v>
      </c>
      <c r="Q54" s="20">
        <v>1</v>
      </c>
      <c r="R54" s="20">
        <v>1</v>
      </c>
    </row>
    <row r="55" spans="2:18" x14ac:dyDescent="0.25">
      <c r="B55" s="21">
        <v>1</v>
      </c>
      <c r="C55" s="21">
        <v>1</v>
      </c>
      <c r="D55" s="21">
        <v>1</v>
      </c>
      <c r="E55" s="21">
        <v>1</v>
      </c>
      <c r="F55" s="21">
        <v>1</v>
      </c>
      <c r="G55" s="29"/>
      <c r="H55" s="20">
        <v>0</v>
      </c>
      <c r="I55" s="20">
        <v>0</v>
      </c>
      <c r="J55" s="20">
        <v>0</v>
      </c>
      <c r="K55" s="20">
        <v>0</v>
      </c>
      <c r="L55" s="20">
        <v>0</v>
      </c>
      <c r="M55" s="29"/>
      <c r="N55" s="20">
        <v>1</v>
      </c>
      <c r="O55" s="20">
        <v>1</v>
      </c>
      <c r="P55" s="20">
        <v>1</v>
      </c>
      <c r="Q55" s="20">
        <v>1</v>
      </c>
      <c r="R55" s="20">
        <v>1</v>
      </c>
    </row>
    <row r="56" spans="2:18" x14ac:dyDescent="0.25">
      <c r="B56" s="21">
        <v>1</v>
      </c>
      <c r="C56" s="21">
        <v>1</v>
      </c>
      <c r="D56" s="21">
        <v>1</v>
      </c>
      <c r="E56" s="21">
        <v>1</v>
      </c>
      <c r="F56" s="21">
        <v>1</v>
      </c>
      <c r="G56" s="29"/>
      <c r="H56" s="20">
        <v>0</v>
      </c>
      <c r="I56" s="20">
        <v>0</v>
      </c>
      <c r="J56" s="20">
        <v>0</v>
      </c>
      <c r="K56" s="20">
        <v>0</v>
      </c>
      <c r="L56" s="20">
        <v>0</v>
      </c>
      <c r="M56" s="29"/>
      <c r="N56" s="20">
        <v>1</v>
      </c>
      <c r="O56" s="20">
        <v>1</v>
      </c>
      <c r="P56" s="20">
        <v>1</v>
      </c>
      <c r="Q56" s="20">
        <v>1</v>
      </c>
      <c r="R56" s="20">
        <v>1</v>
      </c>
    </row>
    <row r="57" spans="2:18" x14ac:dyDescent="0.25">
      <c r="B57" s="21">
        <v>0</v>
      </c>
      <c r="C57" s="21">
        <v>1</v>
      </c>
      <c r="D57" s="21">
        <v>1</v>
      </c>
      <c r="E57" s="21">
        <v>1</v>
      </c>
      <c r="F57" s="21">
        <v>0</v>
      </c>
      <c r="G57" s="29"/>
      <c r="H57" s="20">
        <v>0</v>
      </c>
      <c r="I57" s="20">
        <v>0</v>
      </c>
      <c r="J57" s="20">
        <v>0</v>
      </c>
      <c r="K57" s="20">
        <v>0</v>
      </c>
      <c r="L57" s="20">
        <v>0</v>
      </c>
      <c r="M57" s="29"/>
      <c r="N57" s="20">
        <v>0</v>
      </c>
      <c r="O57" s="20">
        <v>1</v>
      </c>
      <c r="P57" s="20">
        <v>1</v>
      </c>
      <c r="Q57" s="20">
        <v>1</v>
      </c>
      <c r="R57" s="20">
        <v>0</v>
      </c>
    </row>
    <row r="58" spans="2:18" x14ac:dyDescent="0.25">
      <c r="B58" s="21">
        <v>0</v>
      </c>
      <c r="C58" s="21">
        <v>0</v>
      </c>
      <c r="D58" s="21">
        <v>0</v>
      </c>
      <c r="E58" s="21">
        <v>0</v>
      </c>
      <c r="F58" s="21">
        <v>0</v>
      </c>
      <c r="G58" s="29"/>
      <c r="H58" s="20">
        <v>0</v>
      </c>
      <c r="I58" s="20">
        <v>0</v>
      </c>
      <c r="J58" s="20">
        <v>0</v>
      </c>
      <c r="K58" s="20">
        <v>0</v>
      </c>
      <c r="L58" s="20">
        <v>0</v>
      </c>
      <c r="M58" s="29"/>
      <c r="N58" s="20">
        <v>0</v>
      </c>
      <c r="O58" s="20">
        <v>0</v>
      </c>
      <c r="P58" s="20">
        <v>0</v>
      </c>
      <c r="Q58" s="20">
        <v>0</v>
      </c>
      <c r="R58" s="20">
        <v>0</v>
      </c>
    </row>
    <row r="60" spans="2:18" x14ac:dyDescent="0.25">
      <c r="B60" s="18" t="str">
        <f t="shared" ref="B60:B61" si="52">IF($AT$3=1,X60,IF($AT$3=2,AD60,IF($AT$3=3,AJ60,IF($AT$3=4,X69,IF($AT$3=5,AD69,IF($AT$3=6,AJ69,IF($AT$3=7,X78,IF($AT$3=8,AD78,IF($AT$3="b",1,IF($AT$3="w",0,IF($AT$3=9,AJ78,"")))))))))))</f>
        <v/>
      </c>
      <c r="C60" s="18" t="str">
        <f t="shared" ref="C60:C61" si="53">IF($AT$3=1,Y60,IF($AT$3=2,AE60,IF($AT$3=3,AK60,IF($AT$3=4,Y69,IF($AT$3=5,AE69,IF($AT$3=6,AK69,IF($AT$3=7,Y78,IF($AT$3=8,AE78,IF($AT$3="b",1,IF($AT$3="w",0,IF($AT$3=9,AK78,"")))))))))))</f>
        <v/>
      </c>
      <c r="D60" s="18" t="str">
        <f t="shared" ref="D60:D61" si="54">IF($AT$3=1,Z60,IF($AT$3=2,AF60,IF($AT$3=3,AL60,IF($AT$3=4,Z69,IF($AT$3=5,AF69,IF($AT$3=6,AL69,IF($AT$3=7,Z78,IF($AT$3=8,AF78,IF($AT$3="b",1,IF($AT$3="w",0,IF($AT$3=9,AL78,"")))))))))))</f>
        <v/>
      </c>
      <c r="E60" s="18">
        <v>0</v>
      </c>
      <c r="F60" s="18">
        <v>0</v>
      </c>
      <c r="G60" s="29"/>
      <c r="H60" s="18">
        <v>0</v>
      </c>
      <c r="I60" s="18">
        <v>0</v>
      </c>
      <c r="J60" s="18">
        <v>0</v>
      </c>
      <c r="K60" s="18">
        <v>0</v>
      </c>
      <c r="L60" s="18">
        <v>0</v>
      </c>
      <c r="M60" s="29"/>
      <c r="N60" s="18">
        <v>0</v>
      </c>
      <c r="O60" s="18">
        <v>0</v>
      </c>
      <c r="P60" s="18" t="str">
        <f t="shared" ref="P60:P67" si="55">IF($AV$3=1,Z60,IF($AV$3=2,AF60,IF($AV$3=3,AL60,IF($AV$3=4,Z69,IF($AV$3=5,AF69,IF($AV$3=6,AL69,IF($AV$3=7,Z78,IF($AV$3=8,AF78,IF($AV$3="b",1,IF($AV$3="w",0,IF($AV$3=9,AL78,"")))))))))))</f>
        <v/>
      </c>
      <c r="Q60" s="18" t="str">
        <f t="shared" ref="Q60:Q67" si="56">IF($AV$3=1,AA60,IF($AV$3=2,AG60,IF($AV$3=3,AM60,IF($AV$3=4,AA69,IF($AV$3=5,AG69,IF($AV$3=6,AM69,IF($AV$3=7,AA78,IF($AV$3=8,AG78,IF($AV$3="b",1,IF($AV$3="w",0,IF($AV$3=9,AM78,"")))))))))))</f>
        <v/>
      </c>
      <c r="R60" s="18" t="str">
        <f t="shared" ref="R60:R67" si="57">IF($AV$3=1,AB60,IF($AV$3=2,AH60,IF($AV$3=3,AN60,IF($AV$3=4,AB69,IF($AV$3=5,AH69,IF($AV$3=6,AN69,IF($AV$3=7,AB78,IF($AV$3=8,AH78,IF($AV$3="b",1,IF($AV$3="w",0,IF($AV$3=9,AN78,"")))))))))))</f>
        <v/>
      </c>
    </row>
    <row r="61" spans="2:18" x14ac:dyDescent="0.25">
      <c r="B61" s="18" t="str">
        <f t="shared" si="52"/>
        <v/>
      </c>
      <c r="C61" s="18" t="str">
        <f t="shared" si="53"/>
        <v/>
      </c>
      <c r="D61" s="18">
        <v>0</v>
      </c>
      <c r="E61" s="18">
        <v>0</v>
      </c>
      <c r="F61" s="18">
        <v>0</v>
      </c>
      <c r="G61" s="29"/>
      <c r="H61" s="18">
        <v>0</v>
      </c>
      <c r="I61" s="18">
        <v>0</v>
      </c>
      <c r="J61" s="18">
        <v>0</v>
      </c>
      <c r="K61" s="18">
        <v>0</v>
      </c>
      <c r="L61" s="18">
        <v>0</v>
      </c>
      <c r="M61" s="29"/>
      <c r="N61" s="18">
        <v>0</v>
      </c>
      <c r="O61" s="18">
        <v>0</v>
      </c>
      <c r="P61" s="18">
        <v>0</v>
      </c>
      <c r="Q61" s="18" t="str">
        <f t="shared" si="56"/>
        <v/>
      </c>
      <c r="R61" s="18" t="str">
        <f t="shared" si="57"/>
        <v/>
      </c>
    </row>
    <row r="62" spans="2:18" x14ac:dyDescent="0.25">
      <c r="B62" s="18">
        <v>0</v>
      </c>
      <c r="C62" s="18">
        <v>0</v>
      </c>
      <c r="D62" s="18">
        <v>0</v>
      </c>
      <c r="E62" s="18">
        <v>0</v>
      </c>
      <c r="F62" s="18">
        <v>0</v>
      </c>
      <c r="G62" s="29"/>
      <c r="H62" s="18">
        <v>0</v>
      </c>
      <c r="I62" s="18">
        <v>0</v>
      </c>
      <c r="J62" s="18">
        <v>0</v>
      </c>
      <c r="K62" s="18">
        <v>0</v>
      </c>
      <c r="L62" s="18">
        <v>0</v>
      </c>
      <c r="M62" s="29"/>
      <c r="N62" s="18">
        <v>0</v>
      </c>
      <c r="O62" s="18">
        <v>0</v>
      </c>
      <c r="P62" s="18">
        <v>0</v>
      </c>
      <c r="Q62" s="18">
        <v>0</v>
      </c>
      <c r="R62" s="18" t="str">
        <f t="shared" si="57"/>
        <v/>
      </c>
    </row>
    <row r="63" spans="2:18" x14ac:dyDescent="0.25">
      <c r="B63" s="18">
        <v>0</v>
      </c>
      <c r="C63" s="18">
        <v>0</v>
      </c>
      <c r="D63" s="18">
        <v>0</v>
      </c>
      <c r="E63" s="18">
        <v>0</v>
      </c>
      <c r="F63" s="18">
        <v>0</v>
      </c>
      <c r="G63" s="29"/>
      <c r="H63" s="18">
        <v>0</v>
      </c>
      <c r="I63" s="18">
        <v>0</v>
      </c>
      <c r="J63" s="18">
        <v>0</v>
      </c>
      <c r="K63" s="18">
        <v>0</v>
      </c>
      <c r="L63" s="18">
        <v>0</v>
      </c>
      <c r="M63" s="29"/>
      <c r="N63" s="18">
        <v>0</v>
      </c>
      <c r="O63" s="18">
        <v>0</v>
      </c>
      <c r="P63" s="18">
        <v>0</v>
      </c>
      <c r="Q63" s="18">
        <v>0</v>
      </c>
      <c r="R63" s="18">
        <v>0</v>
      </c>
    </row>
    <row r="64" spans="2:18" x14ac:dyDescent="0.25">
      <c r="B64" s="18">
        <v>0</v>
      </c>
      <c r="C64" s="18">
        <v>1</v>
      </c>
      <c r="D64" s="18">
        <v>1</v>
      </c>
      <c r="E64" s="18">
        <v>1</v>
      </c>
      <c r="F64" s="18">
        <v>0</v>
      </c>
      <c r="G64" s="29"/>
      <c r="H64" s="18" t="str">
        <f t="shared" ref="H64:H71" si="58">IF($AU$3=1,X64,IF($AU$3=2,AD64,IF($AU$3=3,AJ64,IF($AU$3=4,X73,IF($AU$3=5,AD73,IF($AU$3=6,AJ73,IF($AU$3=7,X82,IF($AU$3=8,AD82,IF($AU$3="b",1,IF($AU$3="w",0,IF($AU$3=9,AJ82,"")))))))))))</f>
        <v/>
      </c>
      <c r="I64" s="18" t="str">
        <f t="shared" ref="I64:I71" si="59">IF($AU$3=1,Y64,IF($AU$3=2,AE64,IF($AU$3=3,AK64,IF($AU$3=4,Y73,IF($AU$3=5,AE73,IF($AU$3=6,AK73,IF($AU$3=7,Y82,IF($AU$3=8,AE82,IF($AU$3="b",1,IF($AU$3="w",0,IF($AU$3=9,AK82,"")))))))))))</f>
        <v/>
      </c>
      <c r="J64" s="18" t="str">
        <f t="shared" ref="J64:J71" si="60">IF($AU$3=1,Z64,IF($AU$3=2,AF64,IF($AU$3=3,AL64,IF($AU$3=4,Z73,IF($AU$3=5,AF73,IF($AU$3=6,AL73,IF($AU$3=7,Z82,IF($AU$3=8,AF82,IF($AU$3="b",1,IF($AU$3="w",0,IF($AU$3=9,AL82,"")))))))))))</f>
        <v/>
      </c>
      <c r="K64" s="18" t="str">
        <f t="shared" ref="K64:K71" si="61">IF($AU$3=1,AA64,IF($AU$3=2,AG64,IF($AU$3=3,AM64,IF($AU$3=4,AA73,IF($AU$3=5,AG73,IF($AU$3=6,AM73,IF($AU$3=7,AA82,IF($AU$3=8,AG82,IF($AU$3="b",1,IF($AU$3="w",0,IF($AU$3=9,AM82,"")))))))))))</f>
        <v/>
      </c>
      <c r="L64" s="18" t="str">
        <f t="shared" ref="L64:L71" si="62">IF($AU$3=1,AB64,IF($AU$3=2,AH64,IF($AU$3=3,AN64,IF($AU$3=4,AB73,IF($AU$3=5,AH73,IF($AU$3=6,AN73,IF($AU$3=7,AB82,IF($AU$3=8,AH82,IF($AU$3="b",1,IF($AU$3="w",0,IF($AU$3=9,AN82,"")))))))))))</f>
        <v/>
      </c>
      <c r="M64" s="29"/>
      <c r="N64" s="18">
        <v>0</v>
      </c>
      <c r="O64" s="18">
        <v>1</v>
      </c>
      <c r="P64" s="18">
        <v>1</v>
      </c>
      <c r="Q64" s="18">
        <v>1</v>
      </c>
      <c r="R64" s="18">
        <v>0</v>
      </c>
    </row>
    <row r="65" spans="2:18" x14ac:dyDescent="0.25">
      <c r="B65" s="18">
        <v>1</v>
      </c>
      <c r="C65" s="18">
        <v>1</v>
      </c>
      <c r="D65" s="18">
        <v>1</v>
      </c>
      <c r="E65" s="18">
        <v>1</v>
      </c>
      <c r="F65" s="18">
        <v>1</v>
      </c>
      <c r="G65" s="29"/>
      <c r="H65" s="18" t="str">
        <f t="shared" si="58"/>
        <v/>
      </c>
      <c r="I65" s="18" t="str">
        <f t="shared" si="59"/>
        <v/>
      </c>
      <c r="J65" s="18" t="str">
        <f t="shared" si="60"/>
        <v/>
      </c>
      <c r="K65" s="18" t="str">
        <f t="shared" si="61"/>
        <v/>
      </c>
      <c r="L65" s="18" t="str">
        <f t="shared" si="62"/>
        <v/>
      </c>
      <c r="M65" s="29"/>
      <c r="N65" s="18">
        <v>1</v>
      </c>
      <c r="O65" s="18">
        <v>1</v>
      </c>
      <c r="P65" s="18">
        <v>1</v>
      </c>
      <c r="Q65" s="18">
        <v>1</v>
      </c>
      <c r="R65" s="18">
        <v>1</v>
      </c>
    </row>
    <row r="66" spans="2:18" x14ac:dyDescent="0.25">
      <c r="B66" s="18">
        <v>1</v>
      </c>
      <c r="C66" s="18">
        <v>1</v>
      </c>
      <c r="D66" s="18">
        <v>1</v>
      </c>
      <c r="E66" s="18">
        <v>1</v>
      </c>
      <c r="F66" s="18">
        <v>1</v>
      </c>
      <c r="G66" s="29"/>
      <c r="H66" s="18" t="str">
        <f t="shared" si="58"/>
        <v/>
      </c>
      <c r="I66" s="18" t="str">
        <f t="shared" si="59"/>
        <v/>
      </c>
      <c r="J66" s="18" t="str">
        <f t="shared" si="60"/>
        <v/>
      </c>
      <c r="K66" s="18" t="str">
        <f t="shared" si="61"/>
        <v/>
      </c>
      <c r="L66" s="18" t="str">
        <f t="shared" si="62"/>
        <v/>
      </c>
      <c r="M66" s="29"/>
      <c r="N66" s="18">
        <v>1</v>
      </c>
      <c r="O66" s="18">
        <v>1</v>
      </c>
      <c r="P66" s="18">
        <v>1</v>
      </c>
      <c r="Q66" s="18">
        <v>1</v>
      </c>
      <c r="R66" s="18">
        <v>1</v>
      </c>
    </row>
    <row r="67" spans="2:18" x14ac:dyDescent="0.25">
      <c r="B67" s="18">
        <v>1</v>
      </c>
      <c r="C67" s="18">
        <v>1</v>
      </c>
      <c r="D67" s="18">
        <v>1</v>
      </c>
      <c r="E67" s="18">
        <v>1</v>
      </c>
      <c r="F67" s="18">
        <v>1</v>
      </c>
      <c r="G67" s="29"/>
      <c r="H67" s="18" t="str">
        <f t="shared" si="58"/>
        <v/>
      </c>
      <c r="I67" s="18" t="str">
        <f t="shared" si="59"/>
        <v/>
      </c>
      <c r="J67" s="18" t="str">
        <f t="shared" si="60"/>
        <v/>
      </c>
      <c r="K67" s="18" t="str">
        <f t="shared" si="61"/>
        <v/>
      </c>
      <c r="L67" s="18" t="str">
        <f t="shared" si="62"/>
        <v/>
      </c>
      <c r="M67" s="29"/>
      <c r="N67" s="18">
        <v>1</v>
      </c>
      <c r="O67" s="18">
        <v>1</v>
      </c>
      <c r="P67" s="18">
        <v>1</v>
      </c>
      <c r="Q67" s="18">
        <v>1</v>
      </c>
      <c r="R67" s="18">
        <v>1</v>
      </c>
    </row>
    <row r="68" spans="2:18" x14ac:dyDescent="0.25">
      <c r="B68" s="29"/>
      <c r="C68" s="29"/>
      <c r="D68" s="29"/>
      <c r="E68" s="29"/>
      <c r="F68" s="29"/>
      <c r="G68" s="29"/>
      <c r="H68" s="29"/>
      <c r="I68" s="29"/>
      <c r="J68" s="29"/>
      <c r="K68" s="29"/>
      <c r="L68" s="29"/>
      <c r="M68" s="29"/>
      <c r="N68" s="29"/>
      <c r="O68" s="29"/>
      <c r="P68" s="29"/>
      <c r="Q68" s="29"/>
      <c r="R68" s="29"/>
    </row>
    <row r="69" spans="2:18" x14ac:dyDescent="0.25">
      <c r="B69" s="18">
        <v>1</v>
      </c>
      <c r="C69" s="18">
        <v>1</v>
      </c>
      <c r="D69" s="18">
        <v>1</v>
      </c>
      <c r="E69" s="18">
        <v>1</v>
      </c>
      <c r="F69" s="18">
        <v>1</v>
      </c>
      <c r="G69" s="29"/>
      <c r="H69" s="18">
        <v>0</v>
      </c>
      <c r="I69" s="18">
        <v>0</v>
      </c>
      <c r="J69" s="18">
        <v>0</v>
      </c>
      <c r="K69" s="18">
        <v>0</v>
      </c>
      <c r="L69" s="18">
        <v>0</v>
      </c>
      <c r="M69" s="29"/>
      <c r="N69" s="18">
        <v>1</v>
      </c>
      <c r="O69" s="18">
        <v>1</v>
      </c>
      <c r="P69" s="18">
        <v>1</v>
      </c>
      <c r="Q69" s="18">
        <v>1</v>
      </c>
      <c r="R69" s="18">
        <v>1</v>
      </c>
    </row>
    <row r="70" spans="2:18" x14ac:dyDescent="0.25">
      <c r="B70" s="18">
        <v>1</v>
      </c>
      <c r="C70" s="18">
        <v>1</v>
      </c>
      <c r="D70" s="18">
        <v>1</v>
      </c>
      <c r="E70" s="18">
        <v>1</v>
      </c>
      <c r="F70" s="18">
        <v>1</v>
      </c>
      <c r="G70" s="29"/>
      <c r="H70" s="18">
        <v>0</v>
      </c>
      <c r="I70" s="18">
        <v>0</v>
      </c>
      <c r="J70" s="18">
        <v>0</v>
      </c>
      <c r="K70" s="18">
        <v>0</v>
      </c>
      <c r="L70" s="18">
        <v>0</v>
      </c>
      <c r="M70" s="29"/>
      <c r="N70" s="18">
        <v>1</v>
      </c>
      <c r="O70" s="18">
        <v>1</v>
      </c>
      <c r="P70" s="18">
        <v>1</v>
      </c>
      <c r="Q70" s="18">
        <v>1</v>
      </c>
      <c r="R70" s="18">
        <v>1</v>
      </c>
    </row>
    <row r="71" spans="2:18" x14ac:dyDescent="0.25">
      <c r="B71" s="18">
        <v>1</v>
      </c>
      <c r="C71" s="18">
        <v>1</v>
      </c>
      <c r="D71" s="18">
        <v>1</v>
      </c>
      <c r="E71" s="18">
        <v>1</v>
      </c>
      <c r="F71" s="18">
        <v>1</v>
      </c>
      <c r="G71" s="29"/>
      <c r="H71" s="18">
        <v>0</v>
      </c>
      <c r="I71" s="18">
        <v>0</v>
      </c>
      <c r="J71" s="18">
        <v>0</v>
      </c>
      <c r="K71" s="18">
        <v>0</v>
      </c>
      <c r="L71" s="18">
        <v>0</v>
      </c>
      <c r="M71" s="29"/>
      <c r="N71" s="18">
        <v>1</v>
      </c>
      <c r="O71" s="18">
        <v>1</v>
      </c>
      <c r="P71" s="18">
        <v>1</v>
      </c>
      <c r="Q71" s="18">
        <v>1</v>
      </c>
      <c r="R71" s="18">
        <v>1</v>
      </c>
    </row>
    <row r="72" spans="2:18" x14ac:dyDescent="0.25">
      <c r="B72" s="18">
        <v>1</v>
      </c>
      <c r="C72" s="18">
        <v>1</v>
      </c>
      <c r="D72" s="18">
        <v>1</v>
      </c>
      <c r="E72" s="18">
        <v>1</v>
      </c>
      <c r="F72" s="18">
        <v>1</v>
      </c>
      <c r="G72" s="29"/>
      <c r="H72" s="18">
        <v>0</v>
      </c>
      <c r="I72" s="18">
        <v>0</v>
      </c>
      <c r="J72" s="18">
        <v>0</v>
      </c>
      <c r="K72" s="18">
        <v>0</v>
      </c>
      <c r="L72" s="18">
        <v>0</v>
      </c>
      <c r="M72" s="29"/>
      <c r="N72" s="18">
        <v>1</v>
      </c>
      <c r="O72" s="18">
        <v>1</v>
      </c>
      <c r="P72" s="18">
        <v>1</v>
      </c>
      <c r="Q72" s="18">
        <v>1</v>
      </c>
      <c r="R72" s="18">
        <v>1</v>
      </c>
    </row>
    <row r="73" spans="2:18" x14ac:dyDescent="0.25">
      <c r="B73" s="18">
        <v>1</v>
      </c>
      <c r="C73" s="18">
        <v>1</v>
      </c>
      <c r="D73" s="18">
        <v>1</v>
      </c>
      <c r="E73" s="18">
        <v>1</v>
      </c>
      <c r="F73" s="18">
        <v>1</v>
      </c>
      <c r="G73" s="29"/>
      <c r="H73" s="18" t="str">
        <f t="shared" ref="H73:H80" si="63">IF($AU$4=1,X64,IF($AU$4=2,AD64,IF($AU$4=3,AJ64,IF($AU$4=4,X73,IF($AU$4=5,AD73,IF($AU$4=6,AJ73,IF($AU$4=7,X82,IF($AU$4=8,AD82,IF($AU$4="b",1,IF($AU$4="w",0,IF($AU$4=9,AJ82,"")))))))))))</f>
        <v/>
      </c>
      <c r="I73" s="18" t="str">
        <f t="shared" ref="I73:I80" si="64">IF($AU$4=1,Y64,IF($AU$4=2,AE64,IF($AU$4=3,AK64,IF($AU$4=4,Y73,IF($AU$4=5,AE73,IF($AU$4=6,AK73,IF($AU$4=7,Y82,IF($AU$4=8,AE82,IF($AU$4="b",1,IF($AU$4="w",0,IF($AU$4=9,AK82,"")))))))))))</f>
        <v/>
      </c>
      <c r="J73" s="18" t="str">
        <f t="shared" ref="J73:J80" si="65">IF($AU$4=1,Z64,IF($AU$4=2,AF64,IF($AU$4=3,AL64,IF($AU$4=4,Z73,IF($AU$4=5,AF73,IF($AU$4=6,AL73,IF($AU$4=7,Z82,IF($AU$4=8,AF82,IF($AU$4="b",1,IF($AU$4="w",0,IF($AU$4=9,AL82,"")))))))))))</f>
        <v/>
      </c>
      <c r="K73" s="18" t="str">
        <f t="shared" ref="K73:K80" si="66">IF($AU$4=1,AA64,IF($AU$4=2,AG64,IF($AU$4=3,AM64,IF($AU$4=4,AA73,IF($AU$4=5,AG73,IF($AU$4=6,AM73,IF($AU$4=7,AA82,IF($AU$4=8,AG82,IF($AU$4="b",1,IF($AU$4="w",0,IF($AU$4=9,AM82,"")))))))))))</f>
        <v/>
      </c>
      <c r="L73" s="18" t="str">
        <f t="shared" ref="L73:L80" si="67">IF($AU$4=1,AB64,IF($AU$4=2,AH64,IF($AU$4=3,AN64,IF($AU$4=4,AB73,IF($AU$4=5,AH73,IF($AU$4=6,AN73,IF($AU$4=7,AB82,IF($AU$4=8,AH82,IF($AU$4="b",1,IF($AU$4="w",0,IF($AU$4=9,AN82,"")))))))))))</f>
        <v/>
      </c>
      <c r="M73" s="29"/>
      <c r="N73" s="18">
        <v>1</v>
      </c>
      <c r="O73" s="18">
        <v>1</v>
      </c>
      <c r="P73" s="18">
        <v>1</v>
      </c>
      <c r="Q73" s="18">
        <v>1</v>
      </c>
      <c r="R73" s="18">
        <v>1</v>
      </c>
    </row>
    <row r="74" spans="2:18" x14ac:dyDescent="0.25">
      <c r="B74" s="18">
        <v>1</v>
      </c>
      <c r="C74" s="18">
        <v>1</v>
      </c>
      <c r="D74" s="18">
        <v>1</v>
      </c>
      <c r="E74" s="18">
        <v>1</v>
      </c>
      <c r="F74" s="18">
        <v>1</v>
      </c>
      <c r="G74" s="29"/>
      <c r="H74" s="18" t="str">
        <f t="shared" si="63"/>
        <v/>
      </c>
      <c r="I74" s="18" t="str">
        <f t="shared" si="64"/>
        <v/>
      </c>
      <c r="J74" s="18" t="str">
        <f t="shared" si="65"/>
        <v/>
      </c>
      <c r="K74" s="18" t="str">
        <f t="shared" si="66"/>
        <v/>
      </c>
      <c r="L74" s="18" t="str">
        <f t="shared" si="67"/>
        <v/>
      </c>
      <c r="M74" s="29"/>
      <c r="N74" s="18">
        <v>1</v>
      </c>
      <c r="O74" s="18">
        <v>1</v>
      </c>
      <c r="P74" s="18">
        <v>1</v>
      </c>
      <c r="Q74" s="18">
        <v>1</v>
      </c>
      <c r="R74" s="18">
        <v>1</v>
      </c>
    </row>
    <row r="75" spans="2:18" x14ac:dyDescent="0.25">
      <c r="B75" s="18">
        <v>1</v>
      </c>
      <c r="C75" s="18">
        <v>1</v>
      </c>
      <c r="D75" s="18">
        <v>1</v>
      </c>
      <c r="E75" s="18">
        <v>1</v>
      </c>
      <c r="F75" s="18">
        <v>1</v>
      </c>
      <c r="G75" s="29"/>
      <c r="H75" s="18" t="str">
        <f t="shared" si="63"/>
        <v/>
      </c>
      <c r="I75" s="18" t="str">
        <f t="shared" si="64"/>
        <v/>
      </c>
      <c r="J75" s="18" t="str">
        <f t="shared" si="65"/>
        <v/>
      </c>
      <c r="K75" s="18" t="str">
        <f t="shared" si="66"/>
        <v/>
      </c>
      <c r="L75" s="18" t="str">
        <f t="shared" si="67"/>
        <v/>
      </c>
      <c r="M75" s="29"/>
      <c r="N75" s="18">
        <v>1</v>
      </c>
      <c r="O75" s="18">
        <v>1</v>
      </c>
      <c r="P75" s="18">
        <v>1</v>
      </c>
      <c r="Q75" s="18">
        <v>1</v>
      </c>
      <c r="R75" s="18">
        <v>1</v>
      </c>
    </row>
    <row r="76" spans="2:18" x14ac:dyDescent="0.25">
      <c r="B76" s="18">
        <v>1</v>
      </c>
      <c r="C76" s="18">
        <v>1</v>
      </c>
      <c r="D76" s="18">
        <v>1</v>
      </c>
      <c r="E76" s="18">
        <v>1</v>
      </c>
      <c r="F76" s="18">
        <v>1</v>
      </c>
      <c r="G76" s="29"/>
      <c r="H76" s="18" t="str">
        <f t="shared" si="63"/>
        <v/>
      </c>
      <c r="I76" s="18" t="str">
        <f t="shared" si="64"/>
        <v/>
      </c>
      <c r="J76" s="18" t="str">
        <f t="shared" si="65"/>
        <v/>
      </c>
      <c r="K76" s="18" t="str">
        <f t="shared" si="66"/>
        <v/>
      </c>
      <c r="L76" s="18" t="str">
        <f t="shared" si="67"/>
        <v/>
      </c>
      <c r="M76" s="29"/>
      <c r="N76" s="18">
        <v>1</v>
      </c>
      <c r="O76" s="18">
        <v>1</v>
      </c>
      <c r="P76" s="18">
        <v>1</v>
      </c>
      <c r="Q76" s="18">
        <v>1</v>
      </c>
      <c r="R76" s="18">
        <v>1</v>
      </c>
    </row>
    <row r="77" spans="2:18" x14ac:dyDescent="0.25">
      <c r="B77" s="29"/>
      <c r="C77" s="29"/>
      <c r="D77" s="29"/>
      <c r="E77" s="29"/>
      <c r="F77" s="29"/>
      <c r="G77" s="29"/>
      <c r="H77" s="29"/>
      <c r="I77" s="29"/>
      <c r="J77" s="29"/>
      <c r="K77" s="29"/>
      <c r="L77" s="29"/>
      <c r="M77" s="29"/>
      <c r="N77" s="29"/>
      <c r="O77" s="29"/>
      <c r="P77" s="29"/>
      <c r="Q77" s="29"/>
      <c r="R77" s="29"/>
    </row>
    <row r="78" spans="2:18" x14ac:dyDescent="0.25">
      <c r="B78" s="18">
        <v>1</v>
      </c>
      <c r="C78" s="18">
        <v>1</v>
      </c>
      <c r="D78" s="18">
        <v>1</v>
      </c>
      <c r="E78" s="18">
        <v>1</v>
      </c>
      <c r="F78" s="18">
        <v>1</v>
      </c>
      <c r="G78" s="29"/>
      <c r="H78" s="20">
        <v>1</v>
      </c>
      <c r="I78" s="20">
        <v>0</v>
      </c>
      <c r="J78" s="20">
        <v>0</v>
      </c>
      <c r="K78" s="20">
        <v>0</v>
      </c>
      <c r="L78" s="20">
        <v>1</v>
      </c>
      <c r="M78" s="29"/>
      <c r="N78" s="18">
        <v>1</v>
      </c>
      <c r="O78" s="18">
        <v>1</v>
      </c>
      <c r="P78" s="18">
        <v>1</v>
      </c>
      <c r="Q78" s="18">
        <v>1</v>
      </c>
      <c r="R78" s="18">
        <v>1</v>
      </c>
    </row>
    <row r="79" spans="2:18" x14ac:dyDescent="0.25">
      <c r="B79" s="18">
        <v>0</v>
      </c>
      <c r="C79" s="18">
        <v>1</v>
      </c>
      <c r="D79" s="18">
        <v>1</v>
      </c>
      <c r="E79" s="18">
        <v>1</v>
      </c>
      <c r="F79" s="18">
        <v>1</v>
      </c>
      <c r="G79" s="29"/>
      <c r="H79" s="20">
        <v>1</v>
      </c>
      <c r="I79" s="20">
        <v>1</v>
      </c>
      <c r="J79" s="20">
        <v>1</v>
      </c>
      <c r="K79" s="20">
        <v>1</v>
      </c>
      <c r="L79" s="20">
        <v>1</v>
      </c>
      <c r="M79" s="29"/>
      <c r="N79" s="18">
        <v>1</v>
      </c>
      <c r="O79" s="18">
        <v>1</v>
      </c>
      <c r="P79" s="18">
        <v>1</v>
      </c>
      <c r="Q79" s="18">
        <v>1</v>
      </c>
      <c r="R79" s="18">
        <v>0</v>
      </c>
    </row>
    <row r="80" spans="2:18" x14ac:dyDescent="0.25">
      <c r="B80" s="18" t="str">
        <f t="shared" ref="B80:B85" si="68">IF($AT$5=1,X62,IF($AT$5=2,AD62,IF($AT$5=3,AJ62,IF($AT$5=4,X71,IF($AT$5=5,AD71,IF($AT$5=6,AJ71,IF($AT$5=7,X80,IF($AT$5=8,AD80,IF($AT$5="b",1,IF($AT$5="w",0,IF($AT$5=9,AJ80,"")))))))))))</f>
        <v/>
      </c>
      <c r="C80" s="18">
        <v>1</v>
      </c>
      <c r="D80" s="18">
        <v>1</v>
      </c>
      <c r="E80" s="18">
        <v>1</v>
      </c>
      <c r="F80" s="18">
        <v>1</v>
      </c>
      <c r="G80" s="29"/>
      <c r="H80" s="20">
        <v>1</v>
      </c>
      <c r="I80" s="20">
        <v>1</v>
      </c>
      <c r="J80" s="20">
        <v>1</v>
      </c>
      <c r="K80" s="20">
        <v>1</v>
      </c>
      <c r="L80" s="20">
        <v>1</v>
      </c>
      <c r="M80" s="29"/>
      <c r="N80" s="18">
        <v>1</v>
      </c>
      <c r="O80" s="18">
        <v>1</v>
      </c>
      <c r="P80" s="18">
        <v>1</v>
      </c>
      <c r="Q80" s="18">
        <v>1</v>
      </c>
      <c r="R80" s="18" t="str">
        <f t="shared" ref="R80:R85" si="69">IF($AV$5=1,AB62,IF($AV$5=2,AH62,IF($AV$5=3,AN62,IF($AV$5=4,AB71,IF($AV$5=5,AH71,IF($AV$5=6,AN71,IF($AV$5=7,AB80,IF($AV$5=8,AH80,IF($AV$5="b",1,IF($AV$5="w",0,IF($AV$5=9,AN80,"")))))))))))</f>
        <v/>
      </c>
    </row>
    <row r="81" spans="2:18" x14ac:dyDescent="0.25">
      <c r="B81" s="18" t="str">
        <f t="shared" si="68"/>
        <v/>
      </c>
      <c r="C81" s="18" t="str">
        <f t="shared" ref="C81:C85" si="70">IF($AT$5=1,Y63,IF($AT$5=2,AE63,IF($AT$5=3,AK63,IF($AT$5=4,Y72,IF($AT$5=5,AE72,IF($AT$5=6,AK72,IF($AT$5=7,Y81,IF($AT$5=8,AE81,IF($AT$5="b",1,IF($AT$5="w",0,IF($AT$5=9,AK81,"")))))))))))</f>
        <v/>
      </c>
      <c r="D81" s="18">
        <v>1</v>
      </c>
      <c r="E81" s="18">
        <v>1</v>
      </c>
      <c r="F81" s="18">
        <v>1</v>
      </c>
      <c r="G81" s="29"/>
      <c r="H81" s="20">
        <v>1</v>
      </c>
      <c r="I81" s="20">
        <v>1</v>
      </c>
      <c r="J81" s="20">
        <v>1</v>
      </c>
      <c r="K81" s="20">
        <v>1</v>
      </c>
      <c r="L81" s="20">
        <v>1</v>
      </c>
      <c r="M81" s="29"/>
      <c r="N81" s="18">
        <v>1</v>
      </c>
      <c r="O81" s="18">
        <v>1</v>
      </c>
      <c r="P81" s="18">
        <v>1</v>
      </c>
      <c r="Q81" s="18" t="str">
        <f t="shared" ref="Q81:Q85" si="71">IF($AV$5=1,AA63,IF($AV$5=2,AG63,IF($AV$5=3,AM63,IF($AV$5=4,AA72,IF($AV$5=5,AG72,IF($AV$5=6,AM72,IF($AV$5=7,AA81,IF($AV$5=8,AG81,IF($AV$5="b",1,IF($AV$5="w",0,IF($AV$5=9,AM81,"")))))))))))</f>
        <v/>
      </c>
      <c r="R81" s="18" t="str">
        <f t="shared" si="69"/>
        <v/>
      </c>
    </row>
    <row r="82" spans="2:18" x14ac:dyDescent="0.25">
      <c r="B82" s="18" t="str">
        <f t="shared" si="68"/>
        <v/>
      </c>
      <c r="C82" s="18" t="str">
        <f t="shared" si="70"/>
        <v/>
      </c>
      <c r="D82" s="18" t="str">
        <f t="shared" ref="D82:D85" si="72">IF($AT$5=1,Z64,IF($AT$5=2,AF64,IF($AT$5=3,AL64,IF($AT$5=4,Z73,IF($AT$5=5,AF73,IF($AT$5=6,AL73,IF($AT$5=7,Z82,IF($AT$5=8,AF82,IF($AT$5="b",1,IF($AT$5="w",0,IF($AT$5=9,AL82,"")))))))))))</f>
        <v/>
      </c>
      <c r="E82" s="18">
        <v>1</v>
      </c>
      <c r="F82" s="18">
        <v>1</v>
      </c>
      <c r="G82" s="29"/>
      <c r="H82" s="20">
        <v>1</v>
      </c>
      <c r="I82" s="20">
        <v>1</v>
      </c>
      <c r="J82" s="20">
        <v>1</v>
      </c>
      <c r="K82" s="20">
        <v>1</v>
      </c>
      <c r="L82" s="20">
        <v>1</v>
      </c>
      <c r="M82" s="29"/>
      <c r="N82" s="18">
        <v>1</v>
      </c>
      <c r="O82" s="18">
        <v>1</v>
      </c>
      <c r="P82" s="18" t="str">
        <f t="shared" ref="P82:P85" si="73">IF($AV$5=1,Z64,IF($AV$5=2,AF64,IF($AV$5=3,AL64,IF($AV$5=4,Z73,IF($AV$5=5,AF73,IF($AV$5=6,AL73,IF($AV$5=7,Z82,IF($AV$5=8,AF82,IF($AV$5="b",1,IF($AV$5="w",0,IF($AV$5=9,AL82,"")))))))))))</f>
        <v/>
      </c>
      <c r="Q82" s="18" t="str">
        <f t="shared" si="71"/>
        <v/>
      </c>
      <c r="R82" s="18" t="str">
        <f t="shared" si="69"/>
        <v/>
      </c>
    </row>
    <row r="83" spans="2:18" x14ac:dyDescent="0.25">
      <c r="B83" s="18" t="str">
        <f t="shared" si="68"/>
        <v/>
      </c>
      <c r="C83" s="18" t="str">
        <f t="shared" si="70"/>
        <v/>
      </c>
      <c r="D83" s="18" t="str">
        <f t="shared" si="72"/>
        <v/>
      </c>
      <c r="E83" s="18" t="str">
        <f t="shared" ref="E83:E85" si="74">IF($AT$5=1,AA65,IF($AT$5=2,AG65,IF($AT$5=3,AM65,IF($AT$5=4,AA74,IF($AT$5=5,AG74,IF($AT$5=6,AM74,IF($AT$5=7,AA83,IF($AT$5=8,AG83,IF($AT$5="b",1,IF($AT$5="w",0,IF($AT$5=9,AM83,"")))))))))))</f>
        <v/>
      </c>
      <c r="F83" s="18">
        <v>1</v>
      </c>
      <c r="G83" s="29"/>
      <c r="H83" s="20">
        <v>1</v>
      </c>
      <c r="I83" s="20">
        <v>1</v>
      </c>
      <c r="J83" s="20">
        <v>1</v>
      </c>
      <c r="K83" s="20">
        <v>1</v>
      </c>
      <c r="L83" s="20">
        <v>1</v>
      </c>
      <c r="M83" s="29"/>
      <c r="N83" s="18">
        <v>1</v>
      </c>
      <c r="O83" s="18" t="str">
        <f t="shared" ref="O83:O85" si="75">IF($AV$5=1,Y65,IF($AV$5=2,AE65,IF($AV$5=3,AK65,IF($AV$5=4,Y74,IF($AV$5=5,AE74,IF($AV$5=6,AK74,IF($AV$5=7,Y83,IF($AV$5=8,AE83,IF($AV$5="b",1,IF($AV$5="w",0,IF($AV$5=9,AK83,"")))))))))))</f>
        <v/>
      </c>
      <c r="P83" s="18" t="str">
        <f t="shared" si="73"/>
        <v/>
      </c>
      <c r="Q83" s="18" t="str">
        <f t="shared" si="71"/>
        <v/>
      </c>
      <c r="R83" s="18" t="str">
        <f t="shared" si="69"/>
        <v/>
      </c>
    </row>
    <row r="84" spans="2:18" x14ac:dyDescent="0.25">
      <c r="B84" s="18" t="str">
        <f t="shared" si="68"/>
        <v/>
      </c>
      <c r="C84" s="18" t="str">
        <f t="shared" si="70"/>
        <v/>
      </c>
      <c r="D84" s="18" t="str">
        <f t="shared" si="72"/>
        <v/>
      </c>
      <c r="E84" s="18" t="str">
        <f t="shared" si="74"/>
        <v/>
      </c>
      <c r="F84" s="18" t="str">
        <f t="shared" ref="F84:F85" si="76">IF($AT$5=1,AB66,IF($AT$5=2,AH66,IF($AT$5=3,AN66,IF($AT$5=4,AB75,IF($AT$5=5,AH75,IF($AT$5=6,AN75,IF($AT$5=7,AB84,IF($AT$5=8,AH84,IF($AT$5="b",1,IF($AT$5="w",0,IF($AT$5=9,AN84,"")))))))))))</f>
        <v/>
      </c>
      <c r="G84" s="29"/>
      <c r="H84" s="20">
        <v>0</v>
      </c>
      <c r="I84" s="20">
        <v>1</v>
      </c>
      <c r="J84" s="20">
        <v>1</v>
      </c>
      <c r="K84" s="20">
        <v>1</v>
      </c>
      <c r="L84" s="20">
        <v>0</v>
      </c>
      <c r="M84" s="29"/>
      <c r="N84" s="18" t="str">
        <f t="shared" ref="N84:N85" si="77">IF($AV$5=1,X66,IF($AV$5=2,AD66,IF($AV$5=3,AJ66,IF($AV$5=4,X75,IF($AV$5=5,AD75,IF($AV$5=6,AJ75,IF($AV$5=7,X84,IF($AV$5=8,AD84,IF($AV$5="b",1,IF($AV$5="w",0,IF($AV$5=9,AJ84,"")))))))))))</f>
        <v/>
      </c>
      <c r="O84" s="18" t="str">
        <f t="shared" si="75"/>
        <v/>
      </c>
      <c r="P84" s="18" t="str">
        <f t="shared" si="73"/>
        <v/>
      </c>
      <c r="Q84" s="18" t="str">
        <f t="shared" si="71"/>
        <v/>
      </c>
      <c r="R84" s="18" t="str">
        <f t="shared" si="69"/>
        <v/>
      </c>
    </row>
    <row r="85" spans="2:18" x14ac:dyDescent="0.25">
      <c r="B85" s="18" t="str">
        <f t="shared" si="68"/>
        <v/>
      </c>
      <c r="C85" s="18" t="str">
        <f t="shared" si="70"/>
        <v/>
      </c>
      <c r="D85" s="18" t="str">
        <f t="shared" si="72"/>
        <v/>
      </c>
      <c r="E85" s="18" t="str">
        <f t="shared" si="74"/>
        <v/>
      </c>
      <c r="F85" s="18" t="str">
        <f t="shared" si="76"/>
        <v/>
      </c>
      <c r="G85" s="29"/>
      <c r="H85" s="20">
        <v>0</v>
      </c>
      <c r="I85" s="20">
        <v>0</v>
      </c>
      <c r="J85" s="20">
        <v>0</v>
      </c>
      <c r="K85" s="20">
        <v>0</v>
      </c>
      <c r="L85" s="20">
        <v>0</v>
      </c>
      <c r="M85" s="29"/>
      <c r="N85" s="18" t="str">
        <f t="shared" si="77"/>
        <v/>
      </c>
      <c r="O85" s="18" t="str">
        <f t="shared" si="75"/>
        <v/>
      </c>
      <c r="P85" s="18" t="str">
        <f t="shared" si="73"/>
        <v/>
      </c>
      <c r="Q85" s="18" t="str">
        <f t="shared" si="71"/>
        <v/>
      </c>
      <c r="R85" s="18" t="str">
        <f t="shared" si="69"/>
        <v/>
      </c>
    </row>
    <row r="87" spans="2:18" x14ac:dyDescent="0.25">
      <c r="B87" s="21">
        <v>0</v>
      </c>
      <c r="C87" s="21">
        <v>0</v>
      </c>
      <c r="D87" s="21">
        <v>0</v>
      </c>
      <c r="E87" s="21">
        <v>0</v>
      </c>
      <c r="F87" s="21">
        <v>0</v>
      </c>
      <c r="G87" s="29"/>
      <c r="H87" s="20">
        <v>0</v>
      </c>
      <c r="I87" s="20">
        <v>0</v>
      </c>
      <c r="J87" s="20">
        <v>0</v>
      </c>
      <c r="K87" s="20">
        <v>0</v>
      </c>
      <c r="L87" s="20">
        <v>0</v>
      </c>
      <c r="M87" s="29"/>
      <c r="N87" s="20">
        <v>0</v>
      </c>
      <c r="O87" s="20">
        <v>0</v>
      </c>
      <c r="P87" s="20">
        <v>0</v>
      </c>
      <c r="Q87" s="20">
        <v>0</v>
      </c>
      <c r="R87" s="20">
        <v>0</v>
      </c>
    </row>
    <row r="88" spans="2:18" x14ac:dyDescent="0.25">
      <c r="B88" s="21">
        <v>0</v>
      </c>
      <c r="C88" s="21">
        <v>0</v>
      </c>
      <c r="D88" s="21">
        <v>0</v>
      </c>
      <c r="E88" s="21">
        <v>0</v>
      </c>
      <c r="F88" s="21">
        <v>0</v>
      </c>
      <c r="G88" s="29"/>
      <c r="H88" s="20">
        <v>0</v>
      </c>
      <c r="I88" s="20">
        <v>0</v>
      </c>
      <c r="J88" s="20">
        <v>0</v>
      </c>
      <c r="K88" s="20">
        <v>0</v>
      </c>
      <c r="L88" s="20">
        <v>0</v>
      </c>
      <c r="M88" s="29"/>
      <c r="N88" s="20">
        <v>0</v>
      </c>
      <c r="O88" s="20">
        <v>0</v>
      </c>
      <c r="P88" s="20">
        <v>0</v>
      </c>
      <c r="Q88" s="20">
        <v>0</v>
      </c>
      <c r="R88" s="20">
        <v>0</v>
      </c>
    </row>
    <row r="89" spans="2:18" x14ac:dyDescent="0.25">
      <c r="B89" s="21">
        <v>0</v>
      </c>
      <c r="C89" s="21">
        <v>0</v>
      </c>
      <c r="D89" s="21">
        <v>0</v>
      </c>
      <c r="E89" s="21">
        <v>0</v>
      </c>
      <c r="F89" s="21">
        <v>0</v>
      </c>
      <c r="G89" s="29"/>
      <c r="H89" s="20">
        <v>0</v>
      </c>
      <c r="I89" s="20">
        <v>0</v>
      </c>
      <c r="J89" s="20">
        <v>0</v>
      </c>
      <c r="K89" s="20">
        <v>0</v>
      </c>
      <c r="L89" s="20">
        <v>0</v>
      </c>
      <c r="M89" s="29"/>
      <c r="N89" s="20">
        <v>0</v>
      </c>
      <c r="O89" s="20">
        <v>0</v>
      </c>
      <c r="P89" s="20">
        <v>0</v>
      </c>
      <c r="Q89" s="20">
        <v>0</v>
      </c>
      <c r="R89" s="20">
        <v>0</v>
      </c>
    </row>
    <row r="90" spans="2:18" x14ac:dyDescent="0.25">
      <c r="B90" s="21">
        <v>0</v>
      </c>
      <c r="C90" s="21">
        <v>0</v>
      </c>
      <c r="D90" s="21">
        <v>0</v>
      </c>
      <c r="E90" s="21">
        <v>0</v>
      </c>
      <c r="F90" s="21">
        <v>0</v>
      </c>
      <c r="G90" s="29"/>
      <c r="H90" s="20">
        <v>0</v>
      </c>
      <c r="I90" s="20">
        <v>0</v>
      </c>
      <c r="J90" s="20">
        <v>0</v>
      </c>
      <c r="K90" s="20">
        <v>0</v>
      </c>
      <c r="L90" s="20">
        <v>0</v>
      </c>
      <c r="M90" s="29"/>
      <c r="N90" s="20">
        <v>0</v>
      </c>
      <c r="O90" s="20">
        <v>0</v>
      </c>
      <c r="P90" s="20">
        <v>0</v>
      </c>
      <c r="Q90" s="20">
        <v>0</v>
      </c>
      <c r="R90" s="20">
        <v>0</v>
      </c>
    </row>
    <row r="91" spans="2:18" x14ac:dyDescent="0.25">
      <c r="B91" s="21">
        <v>1</v>
      </c>
      <c r="C91" s="21">
        <v>1</v>
      </c>
      <c r="D91" s="21">
        <v>1</v>
      </c>
      <c r="E91" s="21">
        <v>1</v>
      </c>
      <c r="F91" s="21">
        <v>1</v>
      </c>
      <c r="G91" s="29"/>
      <c r="H91" s="20">
        <v>1</v>
      </c>
      <c r="I91" s="20">
        <v>1</v>
      </c>
      <c r="J91" s="20">
        <v>1</v>
      </c>
      <c r="K91" s="20">
        <v>1</v>
      </c>
      <c r="L91" s="20">
        <v>1</v>
      </c>
      <c r="M91" s="29"/>
      <c r="N91" s="20">
        <v>1</v>
      </c>
      <c r="O91" s="20">
        <v>0</v>
      </c>
      <c r="P91" s="20">
        <v>0</v>
      </c>
      <c r="Q91" s="20">
        <v>0</v>
      </c>
      <c r="R91" s="20">
        <v>0</v>
      </c>
    </row>
    <row r="92" spans="2:18" x14ac:dyDescent="0.25">
      <c r="B92" s="21">
        <v>1</v>
      </c>
      <c r="C92" s="21">
        <v>1</v>
      </c>
      <c r="D92" s="21">
        <v>1</v>
      </c>
      <c r="E92" s="21">
        <v>1</v>
      </c>
      <c r="F92" s="21">
        <v>1</v>
      </c>
      <c r="G92" s="29"/>
      <c r="H92" s="20">
        <v>1</v>
      </c>
      <c r="I92" s="20">
        <v>1</v>
      </c>
      <c r="J92" s="20">
        <v>1</v>
      </c>
      <c r="K92" s="20">
        <v>1</v>
      </c>
      <c r="L92" s="20">
        <v>1</v>
      </c>
      <c r="M92" s="29"/>
      <c r="N92" s="20">
        <v>1</v>
      </c>
      <c r="O92" s="20">
        <v>1</v>
      </c>
      <c r="P92" s="20">
        <v>0</v>
      </c>
      <c r="Q92" s="20">
        <v>0</v>
      </c>
      <c r="R92" s="20">
        <v>0</v>
      </c>
    </row>
    <row r="93" spans="2:18" x14ac:dyDescent="0.25">
      <c r="B93" s="21">
        <v>1</v>
      </c>
      <c r="C93" s="21">
        <v>1</v>
      </c>
      <c r="D93" s="21">
        <v>1</v>
      </c>
      <c r="E93" s="21">
        <v>1</v>
      </c>
      <c r="F93" s="21">
        <v>1</v>
      </c>
      <c r="G93" s="29"/>
      <c r="H93" s="20">
        <v>1</v>
      </c>
      <c r="I93" s="20">
        <v>1</v>
      </c>
      <c r="J93" s="20">
        <v>1</v>
      </c>
      <c r="K93" s="20">
        <v>1</v>
      </c>
      <c r="L93" s="20">
        <v>1</v>
      </c>
      <c r="M93" s="29"/>
      <c r="N93" s="20">
        <v>1</v>
      </c>
      <c r="O93" s="20">
        <v>1</v>
      </c>
      <c r="P93" s="20">
        <v>1</v>
      </c>
      <c r="Q93" s="20">
        <v>0</v>
      </c>
      <c r="R93" s="20">
        <v>0</v>
      </c>
    </row>
    <row r="94" spans="2:18" x14ac:dyDescent="0.25">
      <c r="B94" s="21">
        <v>1</v>
      </c>
      <c r="C94" s="21">
        <v>1</v>
      </c>
      <c r="D94" s="21">
        <v>1</v>
      </c>
      <c r="E94" s="21">
        <v>1</v>
      </c>
      <c r="F94" s="21">
        <v>1</v>
      </c>
      <c r="G94" s="29"/>
      <c r="H94" s="20">
        <v>1</v>
      </c>
      <c r="I94" s="20">
        <v>1</v>
      </c>
      <c r="J94" s="20">
        <v>1</v>
      </c>
      <c r="K94" s="20">
        <v>1</v>
      </c>
      <c r="L94" s="20">
        <v>1</v>
      </c>
      <c r="M94" s="29"/>
      <c r="N94" s="20">
        <v>1</v>
      </c>
      <c r="O94" s="20">
        <v>1</v>
      </c>
      <c r="P94" s="20">
        <v>1</v>
      </c>
      <c r="Q94" s="20">
        <v>1</v>
      </c>
      <c r="R94" s="20">
        <v>0</v>
      </c>
    </row>
    <row r="95" spans="2:18" x14ac:dyDescent="0.25">
      <c r="B95" s="30">
        <v>4</v>
      </c>
      <c r="C95" s="30"/>
      <c r="D95" s="30"/>
      <c r="E95" s="30"/>
      <c r="F95" s="30"/>
      <c r="G95" s="29"/>
      <c r="H95" s="30">
        <v>5</v>
      </c>
      <c r="I95" s="30"/>
      <c r="J95" s="30"/>
      <c r="K95" s="30"/>
      <c r="L95" s="30"/>
      <c r="M95" s="29"/>
      <c r="N95" s="30">
        <v>6</v>
      </c>
      <c r="O95" s="30"/>
      <c r="P95" s="30"/>
      <c r="Q95" s="30"/>
      <c r="R95" s="30"/>
    </row>
    <row r="96" spans="2:18" x14ac:dyDescent="0.25">
      <c r="B96" s="21">
        <v>1</v>
      </c>
      <c r="C96" s="21">
        <v>1</v>
      </c>
      <c r="D96" s="21">
        <v>1</v>
      </c>
      <c r="E96" s="21">
        <v>1</v>
      </c>
      <c r="F96" s="21">
        <v>1</v>
      </c>
      <c r="G96" s="29"/>
      <c r="H96" s="20">
        <v>0</v>
      </c>
      <c r="I96" s="20">
        <v>0</v>
      </c>
      <c r="J96" s="20">
        <v>0</v>
      </c>
      <c r="K96" s="20">
        <v>0</v>
      </c>
      <c r="L96" s="20">
        <v>0</v>
      </c>
      <c r="M96" s="29"/>
      <c r="N96" s="20">
        <v>1</v>
      </c>
      <c r="O96" s="20">
        <v>1</v>
      </c>
      <c r="P96" s="20">
        <v>1</v>
      </c>
      <c r="Q96" s="20">
        <v>1</v>
      </c>
      <c r="R96" s="20">
        <v>1</v>
      </c>
    </row>
    <row r="97" spans="2:18" x14ac:dyDescent="0.25">
      <c r="B97" s="21">
        <v>1</v>
      </c>
      <c r="C97" s="21">
        <v>1</v>
      </c>
      <c r="D97" s="21">
        <v>1</v>
      </c>
      <c r="E97" s="21">
        <v>1</v>
      </c>
      <c r="F97" s="21">
        <v>1</v>
      </c>
      <c r="G97" s="29"/>
      <c r="H97" s="20">
        <v>0</v>
      </c>
      <c r="I97" s="20">
        <v>0</v>
      </c>
      <c r="J97" s="20">
        <v>0</v>
      </c>
      <c r="K97" s="20">
        <v>0</v>
      </c>
      <c r="L97" s="20">
        <v>0</v>
      </c>
      <c r="M97" s="29"/>
      <c r="N97" s="20">
        <v>1</v>
      </c>
      <c r="O97" s="20">
        <v>1</v>
      </c>
      <c r="P97" s="20">
        <v>1</v>
      </c>
      <c r="Q97" s="20">
        <v>1</v>
      </c>
      <c r="R97" s="20">
        <v>1</v>
      </c>
    </row>
    <row r="98" spans="2:18" x14ac:dyDescent="0.25">
      <c r="B98" s="21">
        <v>1</v>
      </c>
      <c r="C98" s="21">
        <v>1</v>
      </c>
      <c r="D98" s="21">
        <v>1</v>
      </c>
      <c r="E98" s="21">
        <v>1</v>
      </c>
      <c r="F98" s="21">
        <v>1</v>
      </c>
      <c r="G98" s="29"/>
      <c r="H98" s="20">
        <v>0</v>
      </c>
      <c r="I98" s="20">
        <v>0</v>
      </c>
      <c r="J98" s="20">
        <v>0</v>
      </c>
      <c r="K98" s="20">
        <v>0</v>
      </c>
      <c r="L98" s="20">
        <v>0</v>
      </c>
      <c r="M98" s="29"/>
      <c r="N98" s="20">
        <v>1</v>
      </c>
      <c r="O98" s="20">
        <v>1</v>
      </c>
      <c r="P98" s="20">
        <v>1</v>
      </c>
      <c r="Q98" s="20">
        <v>1</v>
      </c>
      <c r="R98" s="20">
        <v>1</v>
      </c>
    </row>
    <row r="99" spans="2:18" x14ac:dyDescent="0.25">
      <c r="B99" s="21">
        <v>1</v>
      </c>
      <c r="C99" s="21">
        <v>1</v>
      </c>
      <c r="D99" s="21">
        <v>1</v>
      </c>
      <c r="E99" s="21">
        <v>1</v>
      </c>
      <c r="F99" s="21">
        <v>1</v>
      </c>
      <c r="G99" s="29"/>
      <c r="H99" s="20">
        <v>0</v>
      </c>
      <c r="I99" s="20">
        <v>0</v>
      </c>
      <c r="J99" s="20">
        <v>0</v>
      </c>
      <c r="K99" s="20">
        <v>0</v>
      </c>
      <c r="L99" s="20">
        <v>0</v>
      </c>
      <c r="M99" s="29"/>
      <c r="N99" s="20">
        <v>1</v>
      </c>
      <c r="O99" s="20">
        <v>1</v>
      </c>
      <c r="P99" s="20">
        <v>1</v>
      </c>
      <c r="Q99" s="20">
        <v>1</v>
      </c>
      <c r="R99" s="20">
        <v>1</v>
      </c>
    </row>
    <row r="100" spans="2:18" x14ac:dyDescent="0.25">
      <c r="B100" s="21">
        <v>1</v>
      </c>
      <c r="C100" s="21">
        <v>1</v>
      </c>
      <c r="D100" s="21">
        <v>1</v>
      </c>
      <c r="E100" s="21">
        <v>1</v>
      </c>
      <c r="F100" s="21">
        <v>1</v>
      </c>
      <c r="G100" s="29"/>
      <c r="H100" s="20">
        <v>0</v>
      </c>
      <c r="I100" s="20">
        <v>0</v>
      </c>
      <c r="J100" s="20">
        <v>0</v>
      </c>
      <c r="K100" s="20">
        <v>0</v>
      </c>
      <c r="L100" s="20">
        <v>0</v>
      </c>
      <c r="M100" s="29"/>
      <c r="N100" s="20">
        <v>1</v>
      </c>
      <c r="O100" s="20">
        <v>1</v>
      </c>
      <c r="P100" s="20">
        <v>1</v>
      </c>
      <c r="Q100" s="20">
        <v>1</v>
      </c>
      <c r="R100" s="20">
        <v>1</v>
      </c>
    </row>
    <row r="101" spans="2:18" x14ac:dyDescent="0.25">
      <c r="B101" s="21">
        <v>1</v>
      </c>
      <c r="C101" s="21">
        <v>1</v>
      </c>
      <c r="D101" s="21">
        <v>1</v>
      </c>
      <c r="E101" s="21">
        <v>1</v>
      </c>
      <c r="F101" s="21">
        <v>1</v>
      </c>
      <c r="G101" s="29"/>
      <c r="H101" s="20">
        <v>0</v>
      </c>
      <c r="I101" s="20">
        <v>0</v>
      </c>
      <c r="J101" s="20">
        <v>0</v>
      </c>
      <c r="K101" s="20">
        <v>0</v>
      </c>
      <c r="L101" s="20">
        <v>0</v>
      </c>
      <c r="M101" s="29"/>
      <c r="N101" s="20">
        <v>1</v>
      </c>
      <c r="O101" s="20">
        <v>1</v>
      </c>
      <c r="P101" s="20">
        <v>1</v>
      </c>
      <c r="Q101" s="20">
        <v>1</v>
      </c>
      <c r="R101" s="20">
        <v>1</v>
      </c>
    </row>
    <row r="102" spans="2:18" x14ac:dyDescent="0.25">
      <c r="B102" s="21">
        <v>1</v>
      </c>
      <c r="C102" s="21">
        <v>1</v>
      </c>
      <c r="D102" s="21">
        <v>1</v>
      </c>
      <c r="E102" s="21">
        <v>1</v>
      </c>
      <c r="F102" s="21">
        <v>1</v>
      </c>
      <c r="G102" s="29"/>
      <c r="H102" s="20">
        <v>0</v>
      </c>
      <c r="I102" s="20">
        <v>0</v>
      </c>
      <c r="J102" s="20">
        <v>0</v>
      </c>
      <c r="K102" s="20">
        <v>0</v>
      </c>
      <c r="L102" s="20">
        <v>0</v>
      </c>
      <c r="M102" s="29"/>
      <c r="N102" s="20">
        <v>1</v>
      </c>
      <c r="O102" s="20">
        <v>1</v>
      </c>
      <c r="P102" s="20">
        <v>1</v>
      </c>
      <c r="Q102" s="20">
        <v>1</v>
      </c>
      <c r="R102" s="20">
        <v>1</v>
      </c>
    </row>
    <row r="103" spans="2:18" x14ac:dyDescent="0.25">
      <c r="B103" s="21">
        <v>1</v>
      </c>
      <c r="C103" s="21">
        <v>1</v>
      </c>
      <c r="D103" s="21">
        <v>1</v>
      </c>
      <c r="E103" s="21">
        <v>1</v>
      </c>
      <c r="F103" s="21">
        <v>1</v>
      </c>
      <c r="G103" s="29"/>
      <c r="H103" s="20">
        <v>0</v>
      </c>
      <c r="I103" s="20">
        <v>0</v>
      </c>
      <c r="J103" s="20">
        <v>0</v>
      </c>
      <c r="K103" s="20">
        <v>0</v>
      </c>
      <c r="L103" s="20">
        <v>0</v>
      </c>
      <c r="M103" s="29"/>
      <c r="N103" s="20">
        <v>1</v>
      </c>
      <c r="O103" s="20">
        <v>1</v>
      </c>
      <c r="P103" s="20">
        <v>1</v>
      </c>
      <c r="Q103" s="20">
        <v>1</v>
      </c>
      <c r="R103" s="20">
        <v>1</v>
      </c>
    </row>
    <row r="104" spans="2:18" x14ac:dyDescent="0.25">
      <c r="B104" s="30">
        <v>7</v>
      </c>
      <c r="C104" s="30"/>
      <c r="D104" s="30"/>
      <c r="E104" s="30"/>
      <c r="F104" s="30"/>
      <c r="G104" s="29"/>
      <c r="H104" s="30">
        <v>8</v>
      </c>
      <c r="I104" s="30"/>
      <c r="J104" s="30"/>
      <c r="K104" s="30"/>
      <c r="L104" s="30"/>
      <c r="M104" s="29"/>
      <c r="N104" s="30">
        <v>9</v>
      </c>
      <c r="O104" s="30"/>
      <c r="P104" s="30"/>
      <c r="Q104" s="30"/>
      <c r="R104" s="30"/>
    </row>
    <row r="105" spans="2:18" x14ac:dyDescent="0.25">
      <c r="B105" s="21">
        <v>1</v>
      </c>
      <c r="C105" s="21">
        <v>1</v>
      </c>
      <c r="D105" s="21">
        <v>1</v>
      </c>
      <c r="E105" s="21">
        <v>1</v>
      </c>
      <c r="F105" s="21">
        <v>1</v>
      </c>
      <c r="G105" s="29"/>
      <c r="H105" s="20">
        <v>0</v>
      </c>
      <c r="I105" s="20">
        <v>0</v>
      </c>
      <c r="J105" s="20">
        <v>0</v>
      </c>
      <c r="K105" s="20">
        <v>0</v>
      </c>
      <c r="L105" s="20">
        <v>0</v>
      </c>
      <c r="M105" s="29"/>
      <c r="N105" s="20">
        <v>1</v>
      </c>
      <c r="O105" s="20">
        <v>1</v>
      </c>
      <c r="P105" s="20">
        <v>1</v>
      </c>
      <c r="Q105" s="20">
        <v>1</v>
      </c>
      <c r="R105" s="20">
        <v>1</v>
      </c>
    </row>
    <row r="106" spans="2:18" x14ac:dyDescent="0.25">
      <c r="B106" s="21">
        <v>1</v>
      </c>
      <c r="C106" s="21">
        <v>1</v>
      </c>
      <c r="D106" s="21">
        <v>1</v>
      </c>
      <c r="E106" s="21">
        <v>1</v>
      </c>
      <c r="F106" s="21">
        <v>1</v>
      </c>
      <c r="G106" s="29"/>
      <c r="H106" s="20">
        <v>0</v>
      </c>
      <c r="I106" s="20">
        <v>0</v>
      </c>
      <c r="J106" s="20">
        <v>0</v>
      </c>
      <c r="K106" s="20">
        <v>0</v>
      </c>
      <c r="L106" s="20">
        <v>0</v>
      </c>
      <c r="M106" s="29"/>
      <c r="N106" s="20">
        <v>1</v>
      </c>
      <c r="O106" s="20">
        <v>1</v>
      </c>
      <c r="P106" s="20">
        <v>1</v>
      </c>
      <c r="Q106" s="20">
        <v>1</v>
      </c>
      <c r="R106" s="20">
        <v>1</v>
      </c>
    </row>
    <row r="107" spans="2:18" x14ac:dyDescent="0.25">
      <c r="B107" s="21">
        <v>1</v>
      </c>
      <c r="C107" s="21">
        <v>1</v>
      </c>
      <c r="D107" s="21">
        <v>1</v>
      </c>
      <c r="E107" s="21">
        <v>1</v>
      </c>
      <c r="F107" s="21">
        <v>1</v>
      </c>
      <c r="G107" s="29"/>
      <c r="H107" s="20">
        <v>0</v>
      </c>
      <c r="I107" s="20">
        <v>0</v>
      </c>
      <c r="J107" s="20">
        <v>0</v>
      </c>
      <c r="K107" s="20">
        <v>0</v>
      </c>
      <c r="L107" s="20">
        <v>0</v>
      </c>
      <c r="M107" s="29"/>
      <c r="N107" s="20">
        <v>1</v>
      </c>
      <c r="O107" s="20">
        <v>1</v>
      </c>
      <c r="P107" s="20">
        <v>1</v>
      </c>
      <c r="Q107" s="20">
        <v>1</v>
      </c>
      <c r="R107" s="20">
        <v>1</v>
      </c>
    </row>
    <row r="108" spans="2:18" x14ac:dyDescent="0.25">
      <c r="B108" s="21">
        <v>1</v>
      </c>
      <c r="C108" s="21">
        <v>1</v>
      </c>
      <c r="D108" s="21">
        <v>1</v>
      </c>
      <c r="E108" s="21">
        <v>1</v>
      </c>
      <c r="F108" s="21">
        <v>1</v>
      </c>
      <c r="G108" s="29"/>
      <c r="H108" s="20">
        <v>1</v>
      </c>
      <c r="I108" s="20">
        <v>1</v>
      </c>
      <c r="J108" s="20">
        <v>1</v>
      </c>
      <c r="K108" s="20">
        <v>1</v>
      </c>
      <c r="L108" s="20">
        <v>1</v>
      </c>
      <c r="M108" s="29"/>
      <c r="N108" s="20">
        <v>1</v>
      </c>
      <c r="O108" s="20">
        <v>1</v>
      </c>
      <c r="P108" s="20">
        <v>1</v>
      </c>
      <c r="Q108" s="20">
        <v>1</v>
      </c>
      <c r="R108" s="20">
        <v>0</v>
      </c>
    </row>
    <row r="109" spans="2:18" x14ac:dyDescent="0.25">
      <c r="B109" s="21">
        <v>1</v>
      </c>
      <c r="C109" s="21">
        <v>1</v>
      </c>
      <c r="D109" s="21">
        <v>1</v>
      </c>
      <c r="E109" s="21">
        <v>1</v>
      </c>
      <c r="F109" s="21">
        <v>1</v>
      </c>
      <c r="G109" s="29"/>
      <c r="H109" s="20">
        <v>1</v>
      </c>
      <c r="I109" s="20">
        <v>1</v>
      </c>
      <c r="J109" s="20">
        <v>1</v>
      </c>
      <c r="K109" s="20">
        <v>1</v>
      </c>
      <c r="L109" s="20">
        <v>1</v>
      </c>
      <c r="M109" s="29"/>
      <c r="N109" s="20">
        <v>1</v>
      </c>
      <c r="O109" s="20">
        <v>1</v>
      </c>
      <c r="P109" s="20">
        <v>1</v>
      </c>
      <c r="Q109" s="20">
        <v>0</v>
      </c>
      <c r="R109" s="20">
        <v>0</v>
      </c>
    </row>
    <row r="110" spans="2:18" x14ac:dyDescent="0.25">
      <c r="B110" s="21">
        <v>1</v>
      </c>
      <c r="C110" s="21">
        <v>1</v>
      </c>
      <c r="D110" s="21">
        <v>1</v>
      </c>
      <c r="E110" s="21">
        <v>1</v>
      </c>
      <c r="F110" s="21">
        <v>1</v>
      </c>
      <c r="G110" s="29"/>
      <c r="H110" s="20">
        <v>1</v>
      </c>
      <c r="I110" s="20">
        <v>1</v>
      </c>
      <c r="J110" s="20">
        <v>1</v>
      </c>
      <c r="K110" s="20">
        <v>1</v>
      </c>
      <c r="L110" s="20">
        <v>1</v>
      </c>
      <c r="M110" s="29"/>
      <c r="N110" s="20">
        <v>1</v>
      </c>
      <c r="O110" s="20">
        <v>1</v>
      </c>
      <c r="P110" s="20">
        <v>0</v>
      </c>
      <c r="Q110" s="20">
        <v>0</v>
      </c>
      <c r="R110" s="20">
        <v>0</v>
      </c>
    </row>
    <row r="111" spans="2:18" x14ac:dyDescent="0.25">
      <c r="B111" s="21">
        <v>1</v>
      </c>
      <c r="C111" s="21">
        <v>1</v>
      </c>
      <c r="D111" s="21">
        <v>1</v>
      </c>
      <c r="E111" s="21">
        <v>1</v>
      </c>
      <c r="F111" s="21">
        <v>1</v>
      </c>
      <c r="G111" s="29"/>
      <c r="H111" s="20">
        <v>1</v>
      </c>
      <c r="I111" s="20">
        <v>1</v>
      </c>
      <c r="J111" s="20">
        <v>1</v>
      </c>
      <c r="K111" s="20">
        <v>1</v>
      </c>
      <c r="L111" s="20">
        <v>1</v>
      </c>
      <c r="M111" s="29"/>
      <c r="N111" s="20">
        <v>1</v>
      </c>
      <c r="O111" s="20">
        <v>0</v>
      </c>
      <c r="P111" s="20">
        <v>0</v>
      </c>
      <c r="Q111" s="20">
        <v>0</v>
      </c>
      <c r="R111" s="20">
        <v>0</v>
      </c>
    </row>
    <row r="112" spans="2:18" x14ac:dyDescent="0.25">
      <c r="B112" s="21">
        <v>0</v>
      </c>
      <c r="C112" s="21">
        <v>0</v>
      </c>
      <c r="D112" s="21">
        <v>0</v>
      </c>
      <c r="E112" s="21">
        <v>0</v>
      </c>
      <c r="F112" s="21">
        <v>0</v>
      </c>
      <c r="G112" s="29"/>
      <c r="H112" s="20">
        <v>0</v>
      </c>
      <c r="I112" s="20">
        <v>0</v>
      </c>
      <c r="J112" s="20">
        <v>0</v>
      </c>
      <c r="K112" s="20">
        <v>0</v>
      </c>
      <c r="L112" s="20">
        <v>0</v>
      </c>
      <c r="M112" s="29"/>
      <c r="N112" s="20">
        <v>0</v>
      </c>
      <c r="O112" s="20">
        <v>0</v>
      </c>
      <c r="P112" s="20">
        <v>0</v>
      </c>
      <c r="Q112" s="20">
        <v>0</v>
      </c>
      <c r="R112" s="20">
        <v>0</v>
      </c>
    </row>
    <row r="114" spans="2:18" x14ac:dyDescent="0.25">
      <c r="B114" s="21">
        <v>0</v>
      </c>
      <c r="C114" s="21">
        <v>0</v>
      </c>
      <c r="D114" s="21">
        <v>0</v>
      </c>
      <c r="E114" s="21">
        <v>0</v>
      </c>
      <c r="F114" s="21">
        <v>0</v>
      </c>
      <c r="G114" s="29"/>
      <c r="H114" s="20">
        <v>0</v>
      </c>
      <c r="I114" s="20">
        <v>0</v>
      </c>
      <c r="J114" s="20">
        <v>0</v>
      </c>
      <c r="K114" s="20">
        <v>0</v>
      </c>
      <c r="L114" s="20">
        <v>0</v>
      </c>
      <c r="M114" s="29"/>
      <c r="N114" s="20">
        <v>0</v>
      </c>
      <c r="O114" s="20">
        <v>0</v>
      </c>
      <c r="P114" s="20">
        <v>0</v>
      </c>
      <c r="Q114" s="20">
        <v>0</v>
      </c>
      <c r="R114" s="20">
        <v>0</v>
      </c>
    </row>
    <row r="115" spans="2:18" x14ac:dyDescent="0.25">
      <c r="B115" s="21">
        <v>0</v>
      </c>
      <c r="C115" s="21">
        <v>0</v>
      </c>
      <c r="D115" s="21">
        <v>0</v>
      </c>
      <c r="E115" s="21">
        <v>0</v>
      </c>
      <c r="F115" s="21">
        <v>0</v>
      </c>
      <c r="G115" s="29"/>
      <c r="H115" s="20">
        <v>0</v>
      </c>
      <c r="I115" s="20">
        <v>0</v>
      </c>
      <c r="J115" s="20">
        <v>0</v>
      </c>
      <c r="K115" s="20">
        <v>0</v>
      </c>
      <c r="L115" s="20">
        <v>0</v>
      </c>
      <c r="M115" s="29"/>
      <c r="N115" s="20">
        <v>0</v>
      </c>
      <c r="O115" s="20">
        <v>0</v>
      </c>
      <c r="P115" s="20">
        <v>0</v>
      </c>
      <c r="Q115" s="20">
        <v>0</v>
      </c>
      <c r="R115" s="20">
        <v>0</v>
      </c>
    </row>
    <row r="116" spans="2:18" x14ac:dyDescent="0.25">
      <c r="B116" s="21">
        <v>0</v>
      </c>
      <c r="C116" s="21">
        <v>0</v>
      </c>
      <c r="D116" s="21">
        <v>0</v>
      </c>
      <c r="E116" s="21">
        <v>0</v>
      </c>
      <c r="F116" s="21">
        <v>0</v>
      </c>
      <c r="G116" s="29"/>
      <c r="H116" s="20">
        <v>0</v>
      </c>
      <c r="I116" s="20">
        <v>0</v>
      </c>
      <c r="J116" s="20">
        <v>0</v>
      </c>
      <c r="K116" s="20">
        <v>0</v>
      </c>
      <c r="L116" s="20">
        <v>0</v>
      </c>
      <c r="M116" s="29"/>
      <c r="N116" s="20">
        <v>0</v>
      </c>
      <c r="O116" s="20">
        <v>0</v>
      </c>
      <c r="P116" s="20">
        <v>0</v>
      </c>
      <c r="Q116" s="20">
        <v>0</v>
      </c>
      <c r="R116" s="20">
        <v>0</v>
      </c>
    </row>
    <row r="117" spans="2:18" x14ac:dyDescent="0.25">
      <c r="B117" s="21">
        <v>0</v>
      </c>
      <c r="C117" s="21">
        <v>0</v>
      </c>
      <c r="D117" s="21">
        <v>0</v>
      </c>
      <c r="E117" s="21">
        <v>0</v>
      </c>
      <c r="F117" s="21">
        <v>0</v>
      </c>
      <c r="G117" s="29"/>
      <c r="H117" s="20">
        <v>1</v>
      </c>
      <c r="I117" s="20">
        <v>1</v>
      </c>
      <c r="J117" s="20">
        <v>1</v>
      </c>
      <c r="K117" s="20">
        <v>1</v>
      </c>
      <c r="L117" s="20">
        <v>1</v>
      </c>
      <c r="M117" s="29"/>
      <c r="N117" s="20">
        <v>0</v>
      </c>
      <c r="O117" s="20">
        <v>0</v>
      </c>
      <c r="P117" s="20">
        <v>0</v>
      </c>
      <c r="Q117" s="20">
        <v>0</v>
      </c>
      <c r="R117" s="20">
        <v>0</v>
      </c>
    </row>
    <row r="118" spans="2:18" x14ac:dyDescent="0.25">
      <c r="B118" s="21">
        <v>0</v>
      </c>
      <c r="C118" s="21">
        <v>0</v>
      </c>
      <c r="D118" s="21">
        <v>0</v>
      </c>
      <c r="E118" s="21">
        <v>0</v>
      </c>
      <c r="F118" s="21">
        <v>1</v>
      </c>
      <c r="G118" s="29"/>
      <c r="H118" s="20">
        <v>1</v>
      </c>
      <c r="I118" s="20">
        <v>1</v>
      </c>
      <c r="J118" s="20">
        <v>1</v>
      </c>
      <c r="K118" s="20">
        <v>1</v>
      </c>
      <c r="L118" s="20">
        <v>1</v>
      </c>
      <c r="M118" s="29"/>
      <c r="N118" s="20">
        <v>1</v>
      </c>
      <c r="O118" s="20">
        <v>0</v>
      </c>
      <c r="P118" s="20">
        <v>0</v>
      </c>
      <c r="Q118" s="20">
        <v>0</v>
      </c>
      <c r="R118" s="20">
        <v>0</v>
      </c>
    </row>
    <row r="119" spans="2:18" x14ac:dyDescent="0.25">
      <c r="B119" s="21">
        <v>0</v>
      </c>
      <c r="C119" s="21">
        <v>0</v>
      </c>
      <c r="D119" s="21">
        <v>1</v>
      </c>
      <c r="E119" s="21">
        <v>1</v>
      </c>
      <c r="F119" s="21">
        <v>1</v>
      </c>
      <c r="G119" s="29"/>
      <c r="H119" s="20">
        <v>1</v>
      </c>
      <c r="I119" s="20">
        <v>1</v>
      </c>
      <c r="J119" s="20">
        <v>1</v>
      </c>
      <c r="K119" s="20">
        <v>1</v>
      </c>
      <c r="L119" s="20">
        <v>1</v>
      </c>
      <c r="M119" s="29"/>
      <c r="N119" s="20">
        <v>1</v>
      </c>
      <c r="O119" s="20">
        <v>1</v>
      </c>
      <c r="P119" s="20">
        <v>1</v>
      </c>
      <c r="Q119" s="20">
        <v>0</v>
      </c>
      <c r="R119" s="20">
        <v>0</v>
      </c>
    </row>
    <row r="120" spans="2:18" x14ac:dyDescent="0.25">
      <c r="B120" s="21">
        <v>0</v>
      </c>
      <c r="C120" s="21">
        <v>1</v>
      </c>
      <c r="D120" s="21">
        <v>1</v>
      </c>
      <c r="E120" s="21">
        <v>1</v>
      </c>
      <c r="F120" s="21">
        <v>1</v>
      </c>
      <c r="G120" s="29"/>
      <c r="H120" s="20">
        <v>1</v>
      </c>
      <c r="I120" s="20">
        <v>1</v>
      </c>
      <c r="J120" s="20">
        <v>1</v>
      </c>
      <c r="K120" s="20">
        <v>1</v>
      </c>
      <c r="L120" s="20">
        <v>1</v>
      </c>
      <c r="M120" s="29"/>
      <c r="N120" s="20">
        <v>1</v>
      </c>
      <c r="O120" s="20">
        <v>1</v>
      </c>
      <c r="P120" s="20">
        <v>1</v>
      </c>
      <c r="Q120" s="20">
        <v>1</v>
      </c>
      <c r="R120" s="20">
        <v>0</v>
      </c>
    </row>
    <row r="121" spans="2:18" x14ac:dyDescent="0.25">
      <c r="B121" s="21">
        <v>1</v>
      </c>
      <c r="C121" s="21">
        <v>1</v>
      </c>
      <c r="D121" s="21">
        <v>1</v>
      </c>
      <c r="E121" s="21">
        <v>1</v>
      </c>
      <c r="F121" s="21">
        <v>1</v>
      </c>
      <c r="G121" s="29"/>
      <c r="H121" s="20">
        <v>1</v>
      </c>
      <c r="I121" s="20">
        <v>0</v>
      </c>
      <c r="J121" s="20">
        <v>0</v>
      </c>
      <c r="K121" s="20">
        <v>0</v>
      </c>
      <c r="L121" s="20">
        <v>1</v>
      </c>
      <c r="M121" s="29"/>
      <c r="N121" s="20">
        <v>1</v>
      </c>
      <c r="O121" s="20">
        <v>1</v>
      </c>
      <c r="P121" s="20">
        <v>1</v>
      </c>
      <c r="Q121" s="20">
        <v>1</v>
      </c>
      <c r="R121" s="20">
        <v>1</v>
      </c>
    </row>
    <row r="122" spans="2:18" x14ac:dyDescent="0.25">
      <c r="B122" s="30">
        <v>4</v>
      </c>
      <c r="C122" s="30"/>
      <c r="D122" s="30"/>
      <c r="E122" s="30"/>
      <c r="F122" s="30"/>
      <c r="G122" s="29"/>
      <c r="H122" s="30">
        <v>5</v>
      </c>
      <c r="I122" s="30"/>
      <c r="J122" s="30"/>
      <c r="K122" s="30"/>
      <c r="L122" s="30"/>
      <c r="M122" s="29"/>
      <c r="N122" s="30">
        <v>6</v>
      </c>
      <c r="O122" s="30"/>
      <c r="P122" s="30"/>
      <c r="Q122" s="30"/>
      <c r="R122" s="30"/>
    </row>
    <row r="123" spans="2:18" x14ac:dyDescent="0.25">
      <c r="B123" s="21">
        <v>1</v>
      </c>
      <c r="C123" s="21">
        <v>1</v>
      </c>
      <c r="D123" s="21">
        <v>1</v>
      </c>
      <c r="E123" s="21">
        <v>1</v>
      </c>
      <c r="F123" s="21">
        <v>1</v>
      </c>
      <c r="G123" s="29"/>
      <c r="H123" s="20">
        <v>0</v>
      </c>
      <c r="I123" s="20">
        <v>0</v>
      </c>
      <c r="J123" s="20">
        <v>0</v>
      </c>
      <c r="K123" s="20">
        <v>0</v>
      </c>
      <c r="L123" s="20">
        <v>0</v>
      </c>
      <c r="M123" s="29"/>
      <c r="N123" s="20">
        <v>1</v>
      </c>
      <c r="O123" s="20">
        <v>1</v>
      </c>
      <c r="P123" s="20">
        <v>1</v>
      </c>
      <c r="Q123" s="20">
        <v>1</v>
      </c>
      <c r="R123" s="20">
        <v>1</v>
      </c>
    </row>
    <row r="124" spans="2:18" x14ac:dyDescent="0.25">
      <c r="B124" s="21">
        <v>1</v>
      </c>
      <c r="C124" s="21">
        <v>1</v>
      </c>
      <c r="D124" s="21">
        <v>1</v>
      </c>
      <c r="E124" s="21">
        <v>1</v>
      </c>
      <c r="F124" s="21">
        <v>1</v>
      </c>
      <c r="G124" s="29"/>
      <c r="H124" s="20">
        <v>0</v>
      </c>
      <c r="I124" s="20">
        <v>0</v>
      </c>
      <c r="J124" s="20">
        <v>0</v>
      </c>
      <c r="K124" s="20">
        <v>0</v>
      </c>
      <c r="L124" s="20">
        <v>0</v>
      </c>
      <c r="M124" s="29"/>
      <c r="N124" s="20">
        <v>1</v>
      </c>
      <c r="O124" s="20">
        <v>1</v>
      </c>
      <c r="P124" s="20">
        <v>1</v>
      </c>
      <c r="Q124" s="20">
        <v>1</v>
      </c>
      <c r="R124" s="20">
        <v>1</v>
      </c>
    </row>
    <row r="125" spans="2:18" x14ac:dyDescent="0.25">
      <c r="B125" s="21">
        <v>1</v>
      </c>
      <c r="C125" s="21">
        <v>1</v>
      </c>
      <c r="D125" s="21">
        <v>1</v>
      </c>
      <c r="E125" s="21">
        <v>1</v>
      </c>
      <c r="F125" s="21">
        <v>1</v>
      </c>
      <c r="G125" s="29"/>
      <c r="H125" s="20">
        <v>0</v>
      </c>
      <c r="I125" s="20">
        <v>0</v>
      </c>
      <c r="J125" s="20">
        <v>0</v>
      </c>
      <c r="K125" s="20">
        <v>0</v>
      </c>
      <c r="L125" s="20">
        <v>0</v>
      </c>
      <c r="M125" s="29"/>
      <c r="N125" s="20">
        <v>1</v>
      </c>
      <c r="O125" s="20">
        <v>1</v>
      </c>
      <c r="P125" s="20">
        <v>1</v>
      </c>
      <c r="Q125" s="20">
        <v>1</v>
      </c>
      <c r="R125" s="20">
        <v>1</v>
      </c>
    </row>
    <row r="126" spans="2:18" x14ac:dyDescent="0.25">
      <c r="B126" s="21">
        <v>1</v>
      </c>
      <c r="C126" s="21">
        <v>1</v>
      </c>
      <c r="D126" s="21">
        <v>1</v>
      </c>
      <c r="E126" s="21">
        <v>1</v>
      </c>
      <c r="F126" s="21">
        <v>1</v>
      </c>
      <c r="G126" s="29"/>
      <c r="H126" s="20">
        <v>0</v>
      </c>
      <c r="I126" s="20">
        <v>0</v>
      </c>
      <c r="J126" s="20">
        <v>0</v>
      </c>
      <c r="K126" s="20">
        <v>0</v>
      </c>
      <c r="L126" s="20">
        <v>0</v>
      </c>
      <c r="M126" s="29"/>
      <c r="N126" s="20">
        <v>1</v>
      </c>
      <c r="O126" s="20">
        <v>1</v>
      </c>
      <c r="P126" s="20">
        <v>1</v>
      </c>
      <c r="Q126" s="20">
        <v>1</v>
      </c>
      <c r="R126" s="20">
        <v>1</v>
      </c>
    </row>
    <row r="127" spans="2:18" x14ac:dyDescent="0.25">
      <c r="B127" s="21">
        <v>1</v>
      </c>
      <c r="C127" s="21">
        <v>1</v>
      </c>
      <c r="D127" s="21">
        <v>1</v>
      </c>
      <c r="E127" s="21">
        <v>1</v>
      </c>
      <c r="F127" s="21">
        <v>1</v>
      </c>
      <c r="G127" s="29"/>
      <c r="H127" s="20">
        <v>1</v>
      </c>
      <c r="I127" s="20">
        <v>1</v>
      </c>
      <c r="J127" s="20">
        <v>1</v>
      </c>
      <c r="K127" s="20">
        <v>1</v>
      </c>
      <c r="L127" s="20">
        <v>1</v>
      </c>
      <c r="M127" s="29"/>
      <c r="N127" s="20">
        <v>1</v>
      </c>
      <c r="O127" s="20">
        <v>1</v>
      </c>
      <c r="P127" s="20">
        <v>1</v>
      </c>
      <c r="Q127" s="20">
        <v>1</v>
      </c>
      <c r="R127" s="20">
        <v>1</v>
      </c>
    </row>
    <row r="128" spans="2:18" x14ac:dyDescent="0.25">
      <c r="B128" s="21">
        <v>1</v>
      </c>
      <c r="C128" s="21">
        <v>1</v>
      </c>
      <c r="D128" s="21">
        <v>1</v>
      </c>
      <c r="E128" s="21">
        <v>1</v>
      </c>
      <c r="F128" s="21">
        <v>1</v>
      </c>
      <c r="G128" s="29"/>
      <c r="H128" s="20">
        <v>1</v>
      </c>
      <c r="I128" s="20">
        <v>1</v>
      </c>
      <c r="J128" s="20">
        <v>1</v>
      </c>
      <c r="K128" s="20">
        <v>1</v>
      </c>
      <c r="L128" s="20">
        <v>1</v>
      </c>
      <c r="M128" s="29"/>
      <c r="N128" s="20">
        <v>1</v>
      </c>
      <c r="O128" s="20">
        <v>1</v>
      </c>
      <c r="P128" s="20">
        <v>1</v>
      </c>
      <c r="Q128" s="20">
        <v>1</v>
      </c>
      <c r="R128" s="20">
        <v>1</v>
      </c>
    </row>
    <row r="129" spans="2:18" x14ac:dyDescent="0.25">
      <c r="B129" s="21">
        <v>1</v>
      </c>
      <c r="C129" s="21">
        <v>1</v>
      </c>
      <c r="D129" s="21">
        <v>1</v>
      </c>
      <c r="E129" s="21">
        <v>1</v>
      </c>
      <c r="F129" s="21">
        <v>1</v>
      </c>
      <c r="G129" s="29"/>
      <c r="H129" s="20">
        <v>1</v>
      </c>
      <c r="I129" s="20">
        <v>1</v>
      </c>
      <c r="J129" s="20">
        <v>1</v>
      </c>
      <c r="K129" s="20">
        <v>1</v>
      </c>
      <c r="L129" s="20">
        <v>1</v>
      </c>
      <c r="M129" s="29"/>
      <c r="N129" s="20">
        <v>1</v>
      </c>
      <c r="O129" s="20">
        <v>1</v>
      </c>
      <c r="P129" s="20">
        <v>1</v>
      </c>
      <c r="Q129" s="20">
        <v>1</v>
      </c>
      <c r="R129" s="20">
        <v>1</v>
      </c>
    </row>
    <row r="130" spans="2:18" x14ac:dyDescent="0.25">
      <c r="B130" s="21">
        <v>1</v>
      </c>
      <c r="C130" s="21">
        <v>1</v>
      </c>
      <c r="D130" s="21">
        <v>1</v>
      </c>
      <c r="E130" s="21">
        <v>1</v>
      </c>
      <c r="F130" s="21">
        <v>1</v>
      </c>
      <c r="G130" s="29"/>
      <c r="H130" s="20">
        <v>1</v>
      </c>
      <c r="I130" s="20">
        <v>1</v>
      </c>
      <c r="J130" s="20">
        <v>1</v>
      </c>
      <c r="K130" s="20">
        <v>1</v>
      </c>
      <c r="L130" s="20">
        <v>1</v>
      </c>
      <c r="M130" s="29"/>
      <c r="N130" s="20">
        <v>1</v>
      </c>
      <c r="O130" s="20">
        <v>1</v>
      </c>
      <c r="P130" s="20">
        <v>1</v>
      </c>
      <c r="Q130" s="20">
        <v>1</v>
      </c>
      <c r="R130" s="20">
        <v>1</v>
      </c>
    </row>
    <row r="131" spans="2:18" x14ac:dyDescent="0.25">
      <c r="B131" s="30">
        <v>7</v>
      </c>
      <c r="C131" s="30"/>
      <c r="D131" s="30"/>
      <c r="E131" s="30"/>
      <c r="F131" s="30"/>
      <c r="G131" s="29"/>
      <c r="H131" s="30">
        <v>8</v>
      </c>
      <c r="I131" s="30"/>
      <c r="J131" s="30"/>
      <c r="K131" s="30"/>
      <c r="L131" s="30"/>
      <c r="M131" s="29"/>
      <c r="N131" s="30">
        <v>9</v>
      </c>
      <c r="O131" s="30"/>
      <c r="P131" s="30"/>
      <c r="Q131" s="30"/>
      <c r="R131" s="30"/>
    </row>
    <row r="132" spans="2:18" x14ac:dyDescent="0.25">
      <c r="B132" s="21">
        <v>1</v>
      </c>
      <c r="C132" s="21">
        <v>1</v>
      </c>
      <c r="D132" s="21">
        <v>1</v>
      </c>
      <c r="E132" s="21">
        <v>1</v>
      </c>
      <c r="F132" s="21">
        <v>1</v>
      </c>
      <c r="G132" s="29"/>
      <c r="H132" s="20">
        <v>0</v>
      </c>
      <c r="I132" s="20">
        <v>0</v>
      </c>
      <c r="J132" s="20">
        <v>0</v>
      </c>
      <c r="K132" s="20">
        <v>0</v>
      </c>
      <c r="L132" s="20">
        <v>0</v>
      </c>
      <c r="M132" s="29"/>
      <c r="N132" s="20">
        <v>1</v>
      </c>
      <c r="O132" s="20">
        <v>1</v>
      </c>
      <c r="P132" s="20">
        <v>1</v>
      </c>
      <c r="Q132" s="20">
        <v>1</v>
      </c>
      <c r="R132" s="20">
        <v>1</v>
      </c>
    </row>
    <row r="133" spans="2:18" x14ac:dyDescent="0.25">
      <c r="B133" s="21">
        <v>1</v>
      </c>
      <c r="C133" s="21">
        <v>1</v>
      </c>
      <c r="D133" s="21">
        <v>1</v>
      </c>
      <c r="E133" s="21">
        <v>1</v>
      </c>
      <c r="F133" s="21">
        <v>1</v>
      </c>
      <c r="G133" s="29"/>
      <c r="H133" s="20">
        <v>0</v>
      </c>
      <c r="I133" s="20">
        <v>0</v>
      </c>
      <c r="J133" s="20">
        <v>0</v>
      </c>
      <c r="K133" s="20">
        <v>0</v>
      </c>
      <c r="L133" s="20">
        <v>0</v>
      </c>
      <c r="M133" s="29"/>
      <c r="N133" s="20">
        <v>1</v>
      </c>
      <c r="O133" s="20">
        <v>1</v>
      </c>
      <c r="P133" s="20">
        <v>1</v>
      </c>
      <c r="Q133" s="20">
        <v>1</v>
      </c>
      <c r="R133" s="20">
        <v>1</v>
      </c>
    </row>
    <row r="134" spans="2:18" x14ac:dyDescent="0.25">
      <c r="B134" s="21">
        <v>1</v>
      </c>
      <c r="C134" s="21">
        <v>1</v>
      </c>
      <c r="D134" s="21">
        <v>1</v>
      </c>
      <c r="E134" s="21">
        <v>1</v>
      </c>
      <c r="F134" s="21">
        <v>1</v>
      </c>
      <c r="G134" s="29"/>
      <c r="H134" s="20">
        <v>0</v>
      </c>
      <c r="I134" s="20">
        <v>0</v>
      </c>
      <c r="J134" s="20">
        <v>0</v>
      </c>
      <c r="K134" s="20">
        <v>0</v>
      </c>
      <c r="L134" s="20">
        <v>0</v>
      </c>
      <c r="M134" s="29"/>
      <c r="N134" s="20">
        <v>1</v>
      </c>
      <c r="O134" s="20">
        <v>1</v>
      </c>
      <c r="P134" s="20">
        <v>1</v>
      </c>
      <c r="Q134" s="20">
        <v>1</v>
      </c>
      <c r="R134" s="20">
        <v>1</v>
      </c>
    </row>
    <row r="135" spans="2:18" x14ac:dyDescent="0.25">
      <c r="B135" s="21">
        <v>1</v>
      </c>
      <c r="C135" s="21">
        <v>1</v>
      </c>
      <c r="D135" s="21">
        <v>1</v>
      </c>
      <c r="E135" s="21">
        <v>1</v>
      </c>
      <c r="F135" s="21">
        <v>1</v>
      </c>
      <c r="G135" s="29"/>
      <c r="H135" s="20">
        <v>0</v>
      </c>
      <c r="I135" s="20">
        <v>0</v>
      </c>
      <c r="J135" s="20">
        <v>0</v>
      </c>
      <c r="K135" s="20">
        <v>0</v>
      </c>
      <c r="L135" s="20">
        <v>0</v>
      </c>
      <c r="M135" s="29"/>
      <c r="N135" s="20">
        <v>1</v>
      </c>
      <c r="O135" s="20">
        <v>1</v>
      </c>
      <c r="P135" s="20">
        <v>1</v>
      </c>
      <c r="Q135" s="20">
        <v>1</v>
      </c>
      <c r="R135" s="20">
        <v>1</v>
      </c>
    </row>
    <row r="136" spans="2:18" x14ac:dyDescent="0.25">
      <c r="B136" s="21">
        <v>1</v>
      </c>
      <c r="C136" s="21">
        <v>1</v>
      </c>
      <c r="D136" s="21">
        <v>1</v>
      </c>
      <c r="E136" s="21">
        <v>1</v>
      </c>
      <c r="F136" s="21">
        <v>1</v>
      </c>
      <c r="G136" s="29"/>
      <c r="H136" s="20">
        <v>0</v>
      </c>
      <c r="I136" s="20">
        <v>0</v>
      </c>
      <c r="J136" s="20">
        <v>0</v>
      </c>
      <c r="K136" s="20">
        <v>0</v>
      </c>
      <c r="L136" s="20">
        <v>0</v>
      </c>
      <c r="M136" s="29"/>
      <c r="N136" s="20">
        <v>1</v>
      </c>
      <c r="O136" s="20">
        <v>1</v>
      </c>
      <c r="P136" s="20">
        <v>1</v>
      </c>
      <c r="Q136" s="20">
        <v>1</v>
      </c>
      <c r="R136" s="20">
        <v>1</v>
      </c>
    </row>
    <row r="137" spans="2:18" x14ac:dyDescent="0.25">
      <c r="B137" s="21">
        <v>1</v>
      </c>
      <c r="C137" s="21">
        <v>1</v>
      </c>
      <c r="D137" s="21">
        <v>1</v>
      </c>
      <c r="E137" s="21">
        <v>1</v>
      </c>
      <c r="F137" s="21">
        <v>1</v>
      </c>
      <c r="G137" s="29"/>
      <c r="H137" s="20">
        <v>0</v>
      </c>
      <c r="I137" s="20">
        <v>0</v>
      </c>
      <c r="J137" s="20">
        <v>0</v>
      </c>
      <c r="K137" s="20">
        <v>0</v>
      </c>
      <c r="L137" s="20">
        <v>0</v>
      </c>
      <c r="M137" s="29"/>
      <c r="N137" s="20">
        <v>1</v>
      </c>
      <c r="O137" s="20">
        <v>1</v>
      </c>
      <c r="P137" s="20">
        <v>1</v>
      </c>
      <c r="Q137" s="20">
        <v>1</v>
      </c>
      <c r="R137" s="20">
        <v>1</v>
      </c>
    </row>
    <row r="138" spans="2:18" x14ac:dyDescent="0.25">
      <c r="B138" s="21">
        <v>0</v>
      </c>
      <c r="C138" s="21">
        <v>1</v>
      </c>
      <c r="D138" s="21">
        <v>1</v>
      </c>
      <c r="E138" s="21">
        <v>1</v>
      </c>
      <c r="F138" s="21">
        <v>0</v>
      </c>
      <c r="G138" s="29"/>
      <c r="H138" s="20">
        <v>0</v>
      </c>
      <c r="I138" s="20">
        <v>0</v>
      </c>
      <c r="J138" s="20">
        <v>0</v>
      </c>
      <c r="K138" s="20">
        <v>0</v>
      </c>
      <c r="L138" s="20">
        <v>0</v>
      </c>
      <c r="M138" s="29"/>
      <c r="N138" s="20">
        <v>0</v>
      </c>
      <c r="O138" s="20">
        <v>1</v>
      </c>
      <c r="P138" s="20">
        <v>1</v>
      </c>
      <c r="Q138" s="20">
        <v>1</v>
      </c>
      <c r="R138" s="20">
        <v>0</v>
      </c>
    </row>
    <row r="139" spans="2:18" x14ac:dyDescent="0.25">
      <c r="B139" s="21">
        <v>0</v>
      </c>
      <c r="C139" s="21">
        <v>0</v>
      </c>
      <c r="D139" s="21">
        <v>0</v>
      </c>
      <c r="E139" s="21">
        <v>0</v>
      </c>
      <c r="F139" s="21">
        <v>0</v>
      </c>
      <c r="G139" s="29"/>
      <c r="H139" s="20">
        <v>0</v>
      </c>
      <c r="I139" s="20">
        <v>0</v>
      </c>
      <c r="J139" s="20">
        <v>0</v>
      </c>
      <c r="K139" s="20">
        <v>0</v>
      </c>
      <c r="L139" s="20">
        <v>0</v>
      </c>
      <c r="M139" s="29"/>
      <c r="N139" s="20">
        <v>0</v>
      </c>
      <c r="O139" s="20">
        <v>0</v>
      </c>
      <c r="P139" s="20">
        <v>0</v>
      </c>
      <c r="Q139" s="20">
        <v>0</v>
      </c>
      <c r="R139" s="20">
        <v>0</v>
      </c>
    </row>
  </sheetData>
  <mergeCells count="33">
    <mergeCell ref="B122:F122"/>
    <mergeCell ref="H122:L122"/>
    <mergeCell ref="N122:R122"/>
    <mergeCell ref="B131:F131"/>
    <mergeCell ref="H131:L131"/>
    <mergeCell ref="N131:R131"/>
    <mergeCell ref="B95:F95"/>
    <mergeCell ref="H95:L95"/>
    <mergeCell ref="N95:R95"/>
    <mergeCell ref="B104:F104"/>
    <mergeCell ref="H104:L104"/>
    <mergeCell ref="N104:R104"/>
    <mergeCell ref="B41:F41"/>
    <mergeCell ref="H41:L41"/>
    <mergeCell ref="N41:R41"/>
    <mergeCell ref="B50:F50"/>
    <mergeCell ref="H50:L50"/>
    <mergeCell ref="N50:R50"/>
    <mergeCell ref="X20:AB20"/>
    <mergeCell ref="AD20:AH20"/>
    <mergeCell ref="AJ20:AN20"/>
    <mergeCell ref="AP14:AV15"/>
    <mergeCell ref="B1:R1"/>
    <mergeCell ref="T1:V1"/>
    <mergeCell ref="X1:AN1"/>
    <mergeCell ref="AP2:AR2"/>
    <mergeCell ref="AP7:AV9"/>
    <mergeCell ref="X2:AB2"/>
    <mergeCell ref="AD2:AH2"/>
    <mergeCell ref="AJ2:AN2"/>
    <mergeCell ref="X11:AB11"/>
    <mergeCell ref="AD11:AH11"/>
    <mergeCell ref="AJ11:AN11"/>
  </mergeCells>
  <conditionalFormatting sqref="X3:AB10 X12:AB19 X21:AB28 AD21:AH28 AJ3:AN10 AD3:AH10 AD12:AH19 AJ12:AN19 AJ21:AN28">
    <cfRule type="cellIs" dxfId="19" priority="11" operator="equal">
      <formula>0</formula>
    </cfRule>
    <cfRule type="cellIs" dxfId="18" priority="12" operator="equal">
      <formula>1</formula>
    </cfRule>
  </conditionalFormatting>
  <conditionalFormatting sqref="B3:F10 H3:L10 H12:L19 B21:F28 H21:L28 N21:R28 B12:F19 N12:R19 N3:R10">
    <cfRule type="cellIs" dxfId="11" priority="9" operator="equal">
      <formula>0</formula>
    </cfRule>
    <cfRule type="cellIs" dxfId="10" priority="10" operator="equal">
      <formula>1</formula>
    </cfRule>
  </conditionalFormatting>
  <conditionalFormatting sqref="B33:F40 B42:F49 B51:F58 H51:L58 N51:R58 N33:R40 H33:L40 H42:L49 N42:R49">
    <cfRule type="cellIs" dxfId="7" priority="7" operator="equal">
      <formula>0</formula>
    </cfRule>
    <cfRule type="cellIs" dxfId="6" priority="8" operator="equal">
      <formula>1</formula>
    </cfRule>
  </conditionalFormatting>
  <conditionalFormatting sqref="B60:F67 H60:L67 H69:L76 B78:F85 H78:L85 N78:R85 B69:F76 N69:R76 N60:R67">
    <cfRule type="cellIs" dxfId="5" priority="5" operator="equal">
      <formula>0</formula>
    </cfRule>
    <cfRule type="cellIs" dxfId="4" priority="6" operator="equal">
      <formula>1</formula>
    </cfRule>
  </conditionalFormatting>
  <conditionalFormatting sqref="B87:F94 B96:F103 B105:F112 H105:L112 N105:R112 N87:R94 H87:L94 H96:L103 N96:R103">
    <cfRule type="cellIs" dxfId="3" priority="3" operator="equal">
      <formula>0</formula>
    </cfRule>
    <cfRule type="cellIs" dxfId="2" priority="4" operator="equal">
      <formula>1</formula>
    </cfRule>
  </conditionalFormatting>
  <conditionalFormatting sqref="B114:F121 B123:F130 B132:F139 H132:L139 N132:R139 N114:R121 H114:L121 H123:L130 N123:R130">
    <cfRule type="cellIs" dxfId="1" priority="1" operator="equal">
      <formula>0</formula>
    </cfRule>
    <cfRule type="cellIs" dxfId="0" priority="2" operator="equal">
      <formula>1</formula>
    </cfRule>
  </conditionalFormatting>
  <pageMargins left="0.7" right="0.7" top="0.75" bottom="0.75" header="0.3" footer="0.3"/>
  <pageSetup paperSize="9" orientation="portrait" r:id="rId1"/>
  <ignoredErrors>
    <ignoredError sqref="T2 T11 T20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"/>
  <dimension ref="A1:AX37"/>
  <sheetViews>
    <sheetView workbookViewId="0">
      <selection activeCell="Y15" sqref="X12:Y15"/>
    </sheetView>
  </sheetViews>
  <sheetFormatPr defaultRowHeight="15" x14ac:dyDescent="0.25"/>
  <cols>
    <col min="1" max="1" width="2.28515625" customWidth="1"/>
    <col min="2" max="19" width="2.140625" customWidth="1"/>
    <col min="20" max="20" width="10.28515625" style="3" customWidth="1"/>
    <col min="21" max="21" width="9.85546875" customWidth="1"/>
    <col min="23" max="40" width="2.140625" customWidth="1"/>
    <col min="41" max="41" width="8.140625" customWidth="1"/>
    <col min="42" max="42" width="3.28515625" customWidth="1"/>
    <col min="43" max="43" width="3.140625" customWidth="1"/>
    <col min="44" max="44" width="3.28515625" customWidth="1"/>
    <col min="47" max="47" width="9.85546875" bestFit="1" customWidth="1"/>
  </cols>
  <sheetData>
    <row r="1" spans="2:50" x14ac:dyDescent="0.25">
      <c r="B1" s="32" t="s">
        <v>26</v>
      </c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1"/>
      <c r="T1" s="33" t="s">
        <v>31</v>
      </c>
      <c r="U1" s="33"/>
      <c r="V1" s="33"/>
      <c r="W1" s="1"/>
      <c r="X1" s="32" t="s">
        <v>28</v>
      </c>
      <c r="Y1" s="32"/>
      <c r="Z1" s="32"/>
      <c r="AA1" s="32"/>
      <c r="AB1" s="32"/>
      <c r="AC1" s="32"/>
      <c r="AD1" s="32"/>
      <c r="AE1" s="32"/>
      <c r="AF1" s="32"/>
      <c r="AG1" s="32"/>
      <c r="AH1" s="32"/>
      <c r="AI1" s="32"/>
      <c r="AJ1" s="32"/>
      <c r="AK1" s="32"/>
      <c r="AL1" s="32"/>
      <c r="AM1" s="32"/>
      <c r="AN1" s="32"/>
      <c r="AP1" s="2"/>
      <c r="AQ1" s="2"/>
      <c r="AR1" s="2"/>
    </row>
    <row r="2" spans="2:50" ht="11.25" customHeight="1" thickBot="1" x14ac:dyDescent="0.3">
      <c r="T2" s="27" t="s">
        <v>11</v>
      </c>
      <c r="U2" s="19">
        <v>2</v>
      </c>
      <c r="V2" s="19">
        <v>3</v>
      </c>
      <c r="W2" s="1"/>
      <c r="X2" s="35">
        <v>1</v>
      </c>
      <c r="Y2" s="35"/>
      <c r="Z2" s="35"/>
      <c r="AA2" s="35"/>
      <c r="AB2" s="35"/>
      <c r="AC2" s="1"/>
      <c r="AD2" s="35">
        <v>2</v>
      </c>
      <c r="AE2" s="35"/>
      <c r="AF2" s="35"/>
      <c r="AG2" s="35"/>
      <c r="AH2" s="35"/>
      <c r="AI2" s="1"/>
      <c r="AJ2" s="35">
        <v>3</v>
      </c>
      <c r="AK2" s="35"/>
      <c r="AL2" s="35"/>
      <c r="AM2" s="35"/>
      <c r="AN2" s="35"/>
      <c r="AO2" s="1"/>
      <c r="AP2" s="34" t="s">
        <v>29</v>
      </c>
      <c r="AQ2" s="34"/>
      <c r="AR2" s="34"/>
    </row>
    <row r="3" spans="2:50" ht="11.25" customHeight="1" thickTop="1" x14ac:dyDescent="0.25">
      <c r="B3" s="22" t="e">
        <f t="shared" ref="B3:F10" si="0">IF($AP$3=1,X3,IF($AP$3=2,AD3,IF($AP$3=3,AJ3,IF($AP$3=4,X12,IF($AP$3=5,AD12,IF($AP$3=6,AJ12,IF($AP$3=7,X21,IF($AP$3=8,AD21,IF($AP$3="b",1,IF($AP$3="w",0,IF($AP$3=9,AJ21,"")))))))))))</f>
        <v>#VALUE!</v>
      </c>
      <c r="C3" s="22" t="e">
        <f t="shared" si="0"/>
        <v>#VALUE!</v>
      </c>
      <c r="D3" s="22" t="e">
        <f t="shared" si="0"/>
        <v>#VALUE!</v>
      </c>
      <c r="E3" s="22" t="e">
        <f t="shared" si="0"/>
        <v>#VALUE!</v>
      </c>
      <c r="F3" s="22" t="e">
        <f t="shared" si="0"/>
        <v>#VALUE!</v>
      </c>
      <c r="G3" s="23"/>
      <c r="H3" s="22">
        <f t="shared" ref="H3:L10" si="1">IF($AQ$3=1,X3,IF($AQ$3=2,AD3,IF($AQ$3=3,AJ3,IF($AQ$3=4,X12,IF($AQ$3=5,AD12,IF($AQ$3=6,AJ12,IF($AQ$3=7,X21,IF($AQ$3=8,AD21,IF($AQ$3="b",1,IF($AQ$3="w",0,IF($AQ$3=9,AJ21,"")))))))))))</f>
        <v>1</v>
      </c>
      <c r="I3" s="22">
        <f t="shared" si="1"/>
        <v>1</v>
      </c>
      <c r="J3" s="22">
        <f t="shared" si="1"/>
        <v>1</v>
      </c>
      <c r="K3" s="22">
        <f t="shared" si="1"/>
        <v>1</v>
      </c>
      <c r="L3" s="22">
        <f t="shared" si="1"/>
        <v>1</v>
      </c>
      <c r="M3" s="23"/>
      <c r="N3" s="22">
        <f t="shared" ref="N3:R10" si="2">IF($AR$3=1,X3,IF($AR$3=2,AD3,IF($AR$3=3,AJ3,IF($AR$3=4,X12,IF($AR$3=5,AD12,IF($AR$3=6,AJ12,IF($AR$3=7,X21,IF($AR$3=8,AD21,IF($AR$3="b",1,IF($AR$3="w",0,IF($AR$3=9,AJ21,"")))))))))))</f>
        <v>0</v>
      </c>
      <c r="O3" s="22">
        <f t="shared" si="2"/>
        <v>0</v>
      </c>
      <c r="P3" s="22">
        <f t="shared" si="2"/>
        <v>0</v>
      </c>
      <c r="Q3" s="22">
        <f t="shared" si="2"/>
        <v>0</v>
      </c>
      <c r="R3" s="22">
        <f t="shared" si="2"/>
        <v>0</v>
      </c>
      <c r="T3" s="3" t="s">
        <v>14</v>
      </c>
      <c r="U3" s="3" t="s">
        <v>15</v>
      </c>
      <c r="V3" s="3" t="s">
        <v>16</v>
      </c>
      <c r="X3" s="22" t="e">
        <f t="shared" ref="X3:AB10" si="3">MID(IF(TRUNC($T3)=32,DEC2BIN(0,5),DEC2BIN(TRUNC($T3),5)),1+COLUMN(X3)-COLUMN($X$3),1)</f>
        <v>#VALUE!</v>
      </c>
      <c r="Y3" s="22" t="e">
        <f t="shared" si="3"/>
        <v>#VALUE!</v>
      </c>
      <c r="Z3" s="22" t="e">
        <f t="shared" si="3"/>
        <v>#VALUE!</v>
      </c>
      <c r="AA3" s="22" t="e">
        <f t="shared" si="3"/>
        <v>#VALUE!</v>
      </c>
      <c r="AB3" s="22" t="e">
        <f t="shared" si="3"/>
        <v>#VALUE!</v>
      </c>
      <c r="AC3" s="23"/>
      <c r="AD3" s="22" t="e">
        <f t="shared" ref="AD3:AH10" si="4">MID(IF(TRUNC($U3)=32,DEC2BIN(0,5),DEC2BIN(TRUNC($U3),5)),1+COLUMN(AD3)-COLUMN($AD$3),1)</f>
        <v>#VALUE!</v>
      </c>
      <c r="AE3" s="22" t="e">
        <f t="shared" si="4"/>
        <v>#VALUE!</v>
      </c>
      <c r="AF3" s="22" t="e">
        <f t="shared" si="4"/>
        <v>#VALUE!</v>
      </c>
      <c r="AG3" s="22" t="e">
        <f t="shared" si="4"/>
        <v>#VALUE!</v>
      </c>
      <c r="AH3" s="22" t="e">
        <f t="shared" si="4"/>
        <v>#VALUE!</v>
      </c>
      <c r="AI3" s="23"/>
      <c r="AJ3" s="24" t="e">
        <f t="shared" ref="AJ3:AN10" si="5">MID(IF(TRUNC($V3)=32,DEC2BIN(0,5),DEC2BIN(TRUNC($V3),5)),1+COLUMN(AJ3)-COLUMN($AJ$3),1)</f>
        <v>#VALUE!</v>
      </c>
      <c r="AK3" s="24" t="e">
        <f t="shared" si="5"/>
        <v>#VALUE!</v>
      </c>
      <c r="AL3" s="24" t="e">
        <f t="shared" si="5"/>
        <v>#VALUE!</v>
      </c>
      <c r="AM3" s="24" t="e">
        <f t="shared" si="5"/>
        <v>#VALUE!</v>
      </c>
      <c r="AN3" s="24" t="e">
        <f t="shared" si="5"/>
        <v>#VALUE!</v>
      </c>
      <c r="AP3" s="10">
        <v>1</v>
      </c>
      <c r="AQ3" s="11" t="s">
        <v>7</v>
      </c>
      <c r="AR3" s="12" t="s">
        <v>8</v>
      </c>
    </row>
    <row r="4" spans="2:50" ht="11.25" customHeight="1" x14ac:dyDescent="0.25">
      <c r="B4" s="22" t="e">
        <f t="shared" si="0"/>
        <v>#VALUE!</v>
      </c>
      <c r="C4" s="22" t="e">
        <f t="shared" si="0"/>
        <v>#VALUE!</v>
      </c>
      <c r="D4" s="22" t="e">
        <f t="shared" si="0"/>
        <v>#VALUE!</v>
      </c>
      <c r="E4" s="22" t="e">
        <f t="shared" si="0"/>
        <v>#VALUE!</v>
      </c>
      <c r="F4" s="22" t="e">
        <f t="shared" si="0"/>
        <v>#VALUE!</v>
      </c>
      <c r="G4" s="23"/>
      <c r="H4" s="22">
        <f t="shared" si="1"/>
        <v>1</v>
      </c>
      <c r="I4" s="22">
        <f t="shared" si="1"/>
        <v>1</v>
      </c>
      <c r="J4" s="22">
        <f t="shared" si="1"/>
        <v>1</v>
      </c>
      <c r="K4" s="22">
        <f t="shared" si="1"/>
        <v>1</v>
      </c>
      <c r="L4" s="22">
        <f t="shared" si="1"/>
        <v>1</v>
      </c>
      <c r="M4" s="23"/>
      <c r="N4" s="22">
        <f t="shared" si="2"/>
        <v>0</v>
      </c>
      <c r="O4" s="22">
        <f t="shared" si="2"/>
        <v>0</v>
      </c>
      <c r="P4" s="22">
        <f t="shared" si="2"/>
        <v>0</v>
      </c>
      <c r="Q4" s="22">
        <f t="shared" si="2"/>
        <v>0</v>
      </c>
      <c r="R4" s="22">
        <f t="shared" si="2"/>
        <v>0</v>
      </c>
      <c r="T4" s="3" t="s">
        <v>17</v>
      </c>
      <c r="U4" s="3" t="s">
        <v>18</v>
      </c>
      <c r="V4" s="3" t="s">
        <v>16</v>
      </c>
      <c r="X4" s="22" t="e">
        <f t="shared" si="3"/>
        <v>#VALUE!</v>
      </c>
      <c r="Y4" s="22" t="e">
        <f t="shared" si="3"/>
        <v>#VALUE!</v>
      </c>
      <c r="Z4" s="22" t="e">
        <f t="shared" si="3"/>
        <v>#VALUE!</v>
      </c>
      <c r="AA4" s="22" t="e">
        <f t="shared" si="3"/>
        <v>#VALUE!</v>
      </c>
      <c r="AB4" s="22" t="e">
        <f t="shared" si="3"/>
        <v>#VALUE!</v>
      </c>
      <c r="AC4" s="23"/>
      <c r="AD4" s="22" t="e">
        <f t="shared" si="4"/>
        <v>#VALUE!</v>
      </c>
      <c r="AE4" s="22" t="e">
        <f t="shared" si="4"/>
        <v>#VALUE!</v>
      </c>
      <c r="AF4" s="22" t="e">
        <f t="shared" si="4"/>
        <v>#VALUE!</v>
      </c>
      <c r="AG4" s="22" t="e">
        <f t="shared" si="4"/>
        <v>#VALUE!</v>
      </c>
      <c r="AH4" s="22" t="e">
        <f t="shared" si="4"/>
        <v>#VALUE!</v>
      </c>
      <c r="AI4" s="23"/>
      <c r="AJ4" s="24" t="e">
        <f t="shared" si="5"/>
        <v>#VALUE!</v>
      </c>
      <c r="AK4" s="24" t="e">
        <f t="shared" si="5"/>
        <v>#VALUE!</v>
      </c>
      <c r="AL4" s="24" t="e">
        <f t="shared" si="5"/>
        <v>#VALUE!</v>
      </c>
      <c r="AM4" s="24" t="e">
        <f t="shared" si="5"/>
        <v>#VALUE!</v>
      </c>
      <c r="AN4" s="24" t="e">
        <f t="shared" si="5"/>
        <v>#VALUE!</v>
      </c>
      <c r="AP4" s="13" t="s">
        <v>8</v>
      </c>
      <c r="AQ4" s="9" t="s">
        <v>7</v>
      </c>
      <c r="AR4" s="14" t="s">
        <v>8</v>
      </c>
    </row>
    <row r="5" spans="2:50" ht="11.25" customHeight="1" thickBot="1" x14ac:dyDescent="0.3">
      <c r="B5" s="22" t="e">
        <f t="shared" si="0"/>
        <v>#VALUE!</v>
      </c>
      <c r="C5" s="22" t="e">
        <f t="shared" si="0"/>
        <v>#VALUE!</v>
      </c>
      <c r="D5" s="22" t="e">
        <f t="shared" si="0"/>
        <v>#VALUE!</v>
      </c>
      <c r="E5" s="22" t="e">
        <f t="shared" si="0"/>
        <v>#VALUE!</v>
      </c>
      <c r="F5" s="22" t="e">
        <f t="shared" si="0"/>
        <v>#VALUE!</v>
      </c>
      <c r="G5" s="23"/>
      <c r="H5" s="22">
        <f t="shared" si="1"/>
        <v>1</v>
      </c>
      <c r="I5" s="22">
        <f t="shared" si="1"/>
        <v>1</v>
      </c>
      <c r="J5" s="22">
        <f t="shared" si="1"/>
        <v>1</v>
      </c>
      <c r="K5" s="22">
        <f t="shared" si="1"/>
        <v>1</v>
      </c>
      <c r="L5" s="22">
        <f t="shared" si="1"/>
        <v>1</v>
      </c>
      <c r="M5" s="23"/>
      <c r="N5" s="22">
        <f t="shared" si="2"/>
        <v>0</v>
      </c>
      <c r="O5" s="22">
        <f t="shared" si="2"/>
        <v>0</v>
      </c>
      <c r="P5" s="22">
        <f t="shared" si="2"/>
        <v>0</v>
      </c>
      <c r="Q5" s="22">
        <f t="shared" si="2"/>
        <v>0</v>
      </c>
      <c r="R5" s="22">
        <f t="shared" si="2"/>
        <v>0</v>
      </c>
      <c r="T5" s="3" t="s">
        <v>19</v>
      </c>
      <c r="U5" s="3" t="s">
        <v>20</v>
      </c>
      <c r="V5" s="3" t="s">
        <v>16</v>
      </c>
      <c r="X5" s="22" t="e">
        <f t="shared" si="3"/>
        <v>#VALUE!</v>
      </c>
      <c r="Y5" s="22" t="e">
        <f t="shared" si="3"/>
        <v>#VALUE!</v>
      </c>
      <c r="Z5" s="22" t="e">
        <f t="shared" si="3"/>
        <v>#VALUE!</v>
      </c>
      <c r="AA5" s="22" t="e">
        <f t="shared" si="3"/>
        <v>#VALUE!</v>
      </c>
      <c r="AB5" s="22" t="e">
        <f t="shared" si="3"/>
        <v>#VALUE!</v>
      </c>
      <c r="AC5" s="23"/>
      <c r="AD5" s="22" t="e">
        <f t="shared" si="4"/>
        <v>#VALUE!</v>
      </c>
      <c r="AE5" s="22" t="e">
        <f t="shared" si="4"/>
        <v>#VALUE!</v>
      </c>
      <c r="AF5" s="22" t="e">
        <f t="shared" si="4"/>
        <v>#VALUE!</v>
      </c>
      <c r="AG5" s="22" t="e">
        <f t="shared" si="4"/>
        <v>#VALUE!</v>
      </c>
      <c r="AH5" s="22" t="e">
        <f t="shared" si="4"/>
        <v>#VALUE!</v>
      </c>
      <c r="AI5" s="23"/>
      <c r="AJ5" s="24" t="e">
        <f t="shared" si="5"/>
        <v>#VALUE!</v>
      </c>
      <c r="AK5" s="24" t="e">
        <f t="shared" si="5"/>
        <v>#VALUE!</v>
      </c>
      <c r="AL5" s="24" t="e">
        <f t="shared" si="5"/>
        <v>#VALUE!</v>
      </c>
      <c r="AM5" s="24" t="e">
        <f t="shared" si="5"/>
        <v>#VALUE!</v>
      </c>
      <c r="AN5" s="24" t="e">
        <f t="shared" si="5"/>
        <v>#VALUE!</v>
      </c>
      <c r="AP5" s="15">
        <v>3</v>
      </c>
      <c r="AQ5" s="16">
        <v>3</v>
      </c>
      <c r="AR5" s="17">
        <v>3</v>
      </c>
    </row>
    <row r="6" spans="2:50" ht="11.25" customHeight="1" thickTop="1" x14ac:dyDescent="0.25">
      <c r="B6" s="22" t="e">
        <f t="shared" si="0"/>
        <v>#VALUE!</v>
      </c>
      <c r="C6" s="22" t="e">
        <f t="shared" si="0"/>
        <v>#VALUE!</v>
      </c>
      <c r="D6" s="22" t="e">
        <f t="shared" si="0"/>
        <v>#VALUE!</v>
      </c>
      <c r="E6" s="22" t="e">
        <f t="shared" si="0"/>
        <v>#VALUE!</v>
      </c>
      <c r="F6" s="22" t="e">
        <f t="shared" si="0"/>
        <v>#VALUE!</v>
      </c>
      <c r="G6" s="23"/>
      <c r="H6" s="22">
        <f t="shared" si="1"/>
        <v>1</v>
      </c>
      <c r="I6" s="22">
        <f t="shared" si="1"/>
        <v>1</v>
      </c>
      <c r="J6" s="22">
        <f t="shared" si="1"/>
        <v>1</v>
      </c>
      <c r="K6" s="22">
        <f t="shared" si="1"/>
        <v>1</v>
      </c>
      <c r="L6" s="22">
        <f t="shared" si="1"/>
        <v>1</v>
      </c>
      <c r="M6" s="23"/>
      <c r="N6" s="22">
        <f t="shared" si="2"/>
        <v>0</v>
      </c>
      <c r="O6" s="22">
        <f t="shared" si="2"/>
        <v>0</v>
      </c>
      <c r="P6" s="22">
        <f t="shared" si="2"/>
        <v>0</v>
      </c>
      <c r="Q6" s="22">
        <f t="shared" si="2"/>
        <v>0</v>
      </c>
      <c r="R6" s="22">
        <f t="shared" si="2"/>
        <v>0</v>
      </c>
      <c r="T6" s="3" t="s">
        <v>16</v>
      </c>
      <c r="U6" s="3" t="s">
        <v>16</v>
      </c>
      <c r="V6" s="3" t="s">
        <v>16</v>
      </c>
      <c r="X6" s="22" t="e">
        <f t="shared" si="3"/>
        <v>#VALUE!</v>
      </c>
      <c r="Y6" s="22" t="e">
        <f t="shared" si="3"/>
        <v>#VALUE!</v>
      </c>
      <c r="Z6" s="22" t="e">
        <f t="shared" si="3"/>
        <v>#VALUE!</v>
      </c>
      <c r="AA6" s="22" t="e">
        <f t="shared" si="3"/>
        <v>#VALUE!</v>
      </c>
      <c r="AB6" s="22" t="e">
        <f t="shared" si="3"/>
        <v>#VALUE!</v>
      </c>
      <c r="AC6" s="23"/>
      <c r="AD6" s="22" t="e">
        <f t="shared" si="4"/>
        <v>#VALUE!</v>
      </c>
      <c r="AE6" s="22" t="e">
        <f t="shared" si="4"/>
        <v>#VALUE!</v>
      </c>
      <c r="AF6" s="22" t="e">
        <f t="shared" si="4"/>
        <v>#VALUE!</v>
      </c>
      <c r="AG6" s="22" t="e">
        <f t="shared" si="4"/>
        <v>#VALUE!</v>
      </c>
      <c r="AH6" s="22" t="e">
        <f t="shared" si="4"/>
        <v>#VALUE!</v>
      </c>
      <c r="AI6" s="23"/>
      <c r="AJ6" s="24" t="e">
        <f t="shared" si="5"/>
        <v>#VALUE!</v>
      </c>
      <c r="AK6" s="24" t="e">
        <f t="shared" si="5"/>
        <v>#VALUE!</v>
      </c>
      <c r="AL6" s="24" t="e">
        <f t="shared" si="5"/>
        <v>#VALUE!</v>
      </c>
      <c r="AM6" s="24" t="e">
        <f t="shared" si="5"/>
        <v>#VALUE!</v>
      </c>
      <c r="AN6" s="24" t="e">
        <f t="shared" si="5"/>
        <v>#VALUE!</v>
      </c>
      <c r="AW6" s="26"/>
      <c r="AX6" s="26"/>
    </row>
    <row r="7" spans="2:50" ht="11.25" customHeight="1" x14ac:dyDescent="0.25">
      <c r="B7" s="22" t="e">
        <f t="shared" si="0"/>
        <v>#VALUE!</v>
      </c>
      <c r="C7" s="22" t="e">
        <f t="shared" si="0"/>
        <v>#VALUE!</v>
      </c>
      <c r="D7" s="22" t="e">
        <f t="shared" si="0"/>
        <v>#VALUE!</v>
      </c>
      <c r="E7" s="22" t="e">
        <f t="shared" si="0"/>
        <v>#VALUE!</v>
      </c>
      <c r="F7" s="22" t="e">
        <f t="shared" si="0"/>
        <v>#VALUE!</v>
      </c>
      <c r="G7" s="23"/>
      <c r="H7" s="22">
        <f t="shared" si="1"/>
        <v>1</v>
      </c>
      <c r="I7" s="22">
        <f t="shared" si="1"/>
        <v>1</v>
      </c>
      <c r="J7" s="22">
        <f t="shared" si="1"/>
        <v>1</v>
      </c>
      <c r="K7" s="22">
        <f t="shared" si="1"/>
        <v>1</v>
      </c>
      <c r="L7" s="22">
        <f t="shared" si="1"/>
        <v>1</v>
      </c>
      <c r="M7" s="23"/>
      <c r="N7" s="22">
        <f t="shared" si="2"/>
        <v>0</v>
      </c>
      <c r="O7" s="22">
        <f t="shared" si="2"/>
        <v>0</v>
      </c>
      <c r="P7" s="22">
        <f t="shared" si="2"/>
        <v>0</v>
      </c>
      <c r="Q7" s="22">
        <f t="shared" si="2"/>
        <v>0</v>
      </c>
      <c r="R7" s="22">
        <f t="shared" si="2"/>
        <v>0</v>
      </c>
      <c r="T7" s="3" t="s">
        <v>21</v>
      </c>
      <c r="U7" s="3" t="s">
        <v>21</v>
      </c>
      <c r="V7" s="3" t="s">
        <v>21</v>
      </c>
      <c r="X7" s="22" t="e">
        <f t="shared" si="3"/>
        <v>#VALUE!</v>
      </c>
      <c r="Y7" s="22" t="e">
        <f t="shared" si="3"/>
        <v>#VALUE!</v>
      </c>
      <c r="Z7" s="22" t="e">
        <f t="shared" si="3"/>
        <v>#VALUE!</v>
      </c>
      <c r="AA7" s="22" t="e">
        <f t="shared" si="3"/>
        <v>#VALUE!</v>
      </c>
      <c r="AB7" s="22" t="e">
        <f t="shared" si="3"/>
        <v>#VALUE!</v>
      </c>
      <c r="AC7" s="23"/>
      <c r="AD7" s="22" t="e">
        <f t="shared" si="4"/>
        <v>#VALUE!</v>
      </c>
      <c r="AE7" s="22" t="e">
        <f t="shared" si="4"/>
        <v>#VALUE!</v>
      </c>
      <c r="AF7" s="22" t="e">
        <f t="shared" si="4"/>
        <v>#VALUE!</v>
      </c>
      <c r="AG7" s="22" t="e">
        <f t="shared" si="4"/>
        <v>#VALUE!</v>
      </c>
      <c r="AH7" s="22" t="e">
        <f t="shared" si="4"/>
        <v>#VALUE!</v>
      </c>
      <c r="AI7" s="23"/>
      <c r="AJ7" s="24" t="e">
        <f t="shared" si="5"/>
        <v>#VALUE!</v>
      </c>
      <c r="AK7" s="24" t="e">
        <f t="shared" si="5"/>
        <v>#VALUE!</v>
      </c>
      <c r="AL7" s="24" t="e">
        <f t="shared" si="5"/>
        <v>#VALUE!</v>
      </c>
      <c r="AM7" s="24" t="e">
        <f t="shared" si="5"/>
        <v>#VALUE!</v>
      </c>
      <c r="AN7" s="24" t="e">
        <f t="shared" si="5"/>
        <v>#VALUE!</v>
      </c>
      <c r="AP7" s="31" t="s">
        <v>33</v>
      </c>
      <c r="AQ7" s="31"/>
      <c r="AR7" s="31"/>
      <c r="AS7" s="31"/>
      <c r="AT7" s="31"/>
      <c r="AU7" s="31"/>
      <c r="AV7" s="31"/>
      <c r="AW7" s="26"/>
      <c r="AX7" s="26"/>
    </row>
    <row r="8" spans="2:50" ht="11.25" customHeight="1" x14ac:dyDescent="0.25">
      <c r="B8" s="22" t="e">
        <f t="shared" si="0"/>
        <v>#VALUE!</v>
      </c>
      <c r="C8" s="22" t="e">
        <f t="shared" si="0"/>
        <v>#VALUE!</v>
      </c>
      <c r="D8" s="22" t="e">
        <f t="shared" si="0"/>
        <v>#VALUE!</v>
      </c>
      <c r="E8" s="22" t="e">
        <f t="shared" si="0"/>
        <v>#VALUE!</v>
      </c>
      <c r="F8" s="22" t="e">
        <f t="shared" si="0"/>
        <v>#VALUE!</v>
      </c>
      <c r="G8" s="23"/>
      <c r="H8" s="22">
        <f t="shared" si="1"/>
        <v>1</v>
      </c>
      <c r="I8" s="22">
        <f t="shared" si="1"/>
        <v>1</v>
      </c>
      <c r="J8" s="22">
        <f t="shared" si="1"/>
        <v>1</v>
      </c>
      <c r="K8" s="22">
        <f t="shared" si="1"/>
        <v>1</v>
      </c>
      <c r="L8" s="22">
        <f t="shared" si="1"/>
        <v>1</v>
      </c>
      <c r="M8" s="23"/>
      <c r="N8" s="22">
        <f t="shared" si="2"/>
        <v>0</v>
      </c>
      <c r="O8" s="22">
        <f t="shared" si="2"/>
        <v>0</v>
      </c>
      <c r="P8" s="22">
        <f t="shared" si="2"/>
        <v>0</v>
      </c>
      <c r="Q8" s="22">
        <f t="shared" si="2"/>
        <v>0</v>
      </c>
      <c r="R8" s="22">
        <f t="shared" si="2"/>
        <v>0</v>
      </c>
      <c r="T8" s="3" t="s">
        <v>21</v>
      </c>
      <c r="U8" s="3" t="s">
        <v>21</v>
      </c>
      <c r="V8" s="3" t="s">
        <v>21</v>
      </c>
      <c r="X8" s="22" t="e">
        <f t="shared" si="3"/>
        <v>#VALUE!</v>
      </c>
      <c r="Y8" s="22" t="e">
        <f t="shared" si="3"/>
        <v>#VALUE!</v>
      </c>
      <c r="Z8" s="22" t="e">
        <f t="shared" si="3"/>
        <v>#VALUE!</v>
      </c>
      <c r="AA8" s="22" t="e">
        <f t="shared" si="3"/>
        <v>#VALUE!</v>
      </c>
      <c r="AB8" s="22" t="e">
        <f t="shared" si="3"/>
        <v>#VALUE!</v>
      </c>
      <c r="AC8" s="23"/>
      <c r="AD8" s="22" t="e">
        <f t="shared" si="4"/>
        <v>#VALUE!</v>
      </c>
      <c r="AE8" s="22" t="e">
        <f t="shared" si="4"/>
        <v>#VALUE!</v>
      </c>
      <c r="AF8" s="22" t="e">
        <f t="shared" si="4"/>
        <v>#VALUE!</v>
      </c>
      <c r="AG8" s="22" t="e">
        <f t="shared" si="4"/>
        <v>#VALUE!</v>
      </c>
      <c r="AH8" s="22" t="e">
        <f t="shared" si="4"/>
        <v>#VALUE!</v>
      </c>
      <c r="AI8" s="23"/>
      <c r="AJ8" s="24" t="e">
        <f t="shared" si="5"/>
        <v>#VALUE!</v>
      </c>
      <c r="AK8" s="24" t="e">
        <f t="shared" si="5"/>
        <v>#VALUE!</v>
      </c>
      <c r="AL8" s="24" t="e">
        <f t="shared" si="5"/>
        <v>#VALUE!</v>
      </c>
      <c r="AM8" s="24" t="e">
        <f t="shared" si="5"/>
        <v>#VALUE!</v>
      </c>
      <c r="AN8" s="24" t="e">
        <f t="shared" si="5"/>
        <v>#VALUE!</v>
      </c>
      <c r="AP8" s="31"/>
      <c r="AQ8" s="31"/>
      <c r="AR8" s="31"/>
      <c r="AS8" s="31"/>
      <c r="AT8" s="31"/>
      <c r="AU8" s="31"/>
      <c r="AV8" s="31"/>
      <c r="AW8" s="26"/>
      <c r="AX8" s="26"/>
    </row>
    <row r="9" spans="2:50" ht="11.25" customHeight="1" x14ac:dyDescent="0.25">
      <c r="B9" s="22" t="e">
        <f t="shared" si="0"/>
        <v>#VALUE!</v>
      </c>
      <c r="C9" s="22" t="e">
        <f t="shared" si="0"/>
        <v>#VALUE!</v>
      </c>
      <c r="D9" s="22" t="e">
        <f t="shared" si="0"/>
        <v>#VALUE!</v>
      </c>
      <c r="E9" s="22" t="e">
        <f t="shared" si="0"/>
        <v>#VALUE!</v>
      </c>
      <c r="F9" s="22" t="e">
        <f t="shared" si="0"/>
        <v>#VALUE!</v>
      </c>
      <c r="G9" s="23"/>
      <c r="H9" s="22">
        <f t="shared" si="1"/>
        <v>1</v>
      </c>
      <c r="I9" s="22">
        <f t="shared" si="1"/>
        <v>1</v>
      </c>
      <c r="J9" s="22">
        <f t="shared" si="1"/>
        <v>1</v>
      </c>
      <c r="K9" s="22">
        <f t="shared" si="1"/>
        <v>1</v>
      </c>
      <c r="L9" s="22">
        <f t="shared" si="1"/>
        <v>1</v>
      </c>
      <c r="M9" s="23"/>
      <c r="N9" s="22">
        <f t="shared" si="2"/>
        <v>0</v>
      </c>
      <c r="O9" s="22">
        <f t="shared" si="2"/>
        <v>0</v>
      </c>
      <c r="P9" s="22">
        <f t="shared" si="2"/>
        <v>0</v>
      </c>
      <c r="Q9" s="22">
        <f t="shared" si="2"/>
        <v>0</v>
      </c>
      <c r="R9" s="22">
        <f t="shared" si="2"/>
        <v>0</v>
      </c>
      <c r="T9" s="3" t="s">
        <v>21</v>
      </c>
      <c r="U9" s="3" t="s">
        <v>21</v>
      </c>
      <c r="V9" s="3" t="s">
        <v>21</v>
      </c>
      <c r="X9" s="22" t="e">
        <f t="shared" si="3"/>
        <v>#VALUE!</v>
      </c>
      <c r="Y9" s="22" t="e">
        <f t="shared" si="3"/>
        <v>#VALUE!</v>
      </c>
      <c r="Z9" s="22" t="e">
        <f t="shared" si="3"/>
        <v>#VALUE!</v>
      </c>
      <c r="AA9" s="22" t="e">
        <f t="shared" si="3"/>
        <v>#VALUE!</v>
      </c>
      <c r="AB9" s="22" t="e">
        <f t="shared" si="3"/>
        <v>#VALUE!</v>
      </c>
      <c r="AC9" s="23"/>
      <c r="AD9" s="22" t="e">
        <f t="shared" si="4"/>
        <v>#VALUE!</v>
      </c>
      <c r="AE9" s="22" t="e">
        <f t="shared" si="4"/>
        <v>#VALUE!</v>
      </c>
      <c r="AF9" s="22" t="e">
        <f t="shared" si="4"/>
        <v>#VALUE!</v>
      </c>
      <c r="AG9" s="22" t="e">
        <f t="shared" si="4"/>
        <v>#VALUE!</v>
      </c>
      <c r="AH9" s="22" t="e">
        <f t="shared" si="4"/>
        <v>#VALUE!</v>
      </c>
      <c r="AI9" s="23"/>
      <c r="AJ9" s="24" t="e">
        <f t="shared" si="5"/>
        <v>#VALUE!</v>
      </c>
      <c r="AK9" s="24" t="e">
        <f t="shared" si="5"/>
        <v>#VALUE!</v>
      </c>
      <c r="AL9" s="24" t="e">
        <f t="shared" si="5"/>
        <v>#VALUE!</v>
      </c>
      <c r="AM9" s="24" t="e">
        <f t="shared" si="5"/>
        <v>#VALUE!</v>
      </c>
      <c r="AN9" s="24" t="e">
        <f t="shared" si="5"/>
        <v>#VALUE!</v>
      </c>
      <c r="AP9" s="31"/>
      <c r="AQ9" s="31"/>
      <c r="AR9" s="31"/>
      <c r="AS9" s="31"/>
      <c r="AT9" s="31"/>
      <c r="AU9" s="31"/>
      <c r="AV9" s="31"/>
    </row>
    <row r="10" spans="2:50" ht="11.25" customHeight="1" x14ac:dyDescent="0.25">
      <c r="B10" s="22" t="str">
        <f t="shared" si="0"/>
        <v>0</v>
      </c>
      <c r="C10" s="22" t="str">
        <f t="shared" si="0"/>
        <v>0</v>
      </c>
      <c r="D10" s="22" t="str">
        <f t="shared" si="0"/>
        <v>0</v>
      </c>
      <c r="E10" s="22" t="str">
        <f t="shared" si="0"/>
        <v>0</v>
      </c>
      <c r="F10" s="22" t="str">
        <f t="shared" si="0"/>
        <v>0</v>
      </c>
      <c r="G10" s="23"/>
      <c r="H10" s="22">
        <f t="shared" si="1"/>
        <v>1</v>
      </c>
      <c r="I10" s="22">
        <f t="shared" si="1"/>
        <v>1</v>
      </c>
      <c r="J10" s="22">
        <f t="shared" si="1"/>
        <v>1</v>
      </c>
      <c r="K10" s="22">
        <f t="shared" si="1"/>
        <v>1</v>
      </c>
      <c r="L10" s="22">
        <f t="shared" si="1"/>
        <v>1</v>
      </c>
      <c r="M10" s="23"/>
      <c r="N10" s="22">
        <f t="shared" si="2"/>
        <v>0</v>
      </c>
      <c r="O10" s="22">
        <f t="shared" si="2"/>
        <v>0</v>
      </c>
      <c r="P10" s="22">
        <f t="shared" si="2"/>
        <v>0</v>
      </c>
      <c r="Q10" s="22">
        <f t="shared" si="2"/>
        <v>0</v>
      </c>
      <c r="R10" s="22">
        <f t="shared" si="2"/>
        <v>0</v>
      </c>
      <c r="T10" s="25">
        <v>32</v>
      </c>
      <c r="U10" s="3" t="s">
        <v>22</v>
      </c>
      <c r="V10" s="3" t="s">
        <v>22</v>
      </c>
      <c r="X10" s="22" t="str">
        <f t="shared" si="3"/>
        <v>0</v>
      </c>
      <c r="Y10" s="22" t="str">
        <f t="shared" si="3"/>
        <v>0</v>
      </c>
      <c r="Z10" s="22" t="str">
        <f t="shared" si="3"/>
        <v>0</v>
      </c>
      <c r="AA10" s="22" t="str">
        <f t="shared" si="3"/>
        <v>0</v>
      </c>
      <c r="AB10" s="22" t="str">
        <f t="shared" si="3"/>
        <v>0</v>
      </c>
      <c r="AC10" s="23"/>
      <c r="AD10" s="22" t="str">
        <f t="shared" si="4"/>
        <v>0</v>
      </c>
      <c r="AE10" s="22" t="str">
        <f t="shared" si="4"/>
        <v>0</v>
      </c>
      <c r="AF10" s="22" t="str">
        <f t="shared" si="4"/>
        <v>0</v>
      </c>
      <c r="AG10" s="22" t="str">
        <f t="shared" si="4"/>
        <v>0</v>
      </c>
      <c r="AH10" s="22" t="str">
        <f t="shared" si="4"/>
        <v>0</v>
      </c>
      <c r="AI10" s="23"/>
      <c r="AJ10" s="24" t="str">
        <f t="shared" si="5"/>
        <v>0</v>
      </c>
      <c r="AK10" s="24" t="str">
        <f t="shared" si="5"/>
        <v>0</v>
      </c>
      <c r="AL10" s="24" t="str">
        <f t="shared" si="5"/>
        <v>0</v>
      </c>
      <c r="AM10" s="24" t="str">
        <f t="shared" si="5"/>
        <v>0</v>
      </c>
      <c r="AN10" s="24" t="str">
        <f t="shared" si="5"/>
        <v>0</v>
      </c>
    </row>
    <row r="11" spans="2:50" ht="11.25" customHeight="1" x14ac:dyDescent="0.25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T11" s="8">
        <v>4</v>
      </c>
      <c r="U11" s="8">
        <v>5</v>
      </c>
      <c r="V11" s="8">
        <v>6</v>
      </c>
      <c r="X11" s="36">
        <v>4</v>
      </c>
      <c r="Y11" s="36"/>
      <c r="Z11" s="36"/>
      <c r="AA11" s="36"/>
      <c r="AB11" s="36"/>
      <c r="AC11" s="23"/>
      <c r="AD11" s="36">
        <v>5</v>
      </c>
      <c r="AE11" s="36"/>
      <c r="AF11" s="36"/>
      <c r="AG11" s="36"/>
      <c r="AH11" s="36"/>
      <c r="AI11" s="23"/>
      <c r="AJ11" s="36">
        <v>6</v>
      </c>
      <c r="AK11" s="36"/>
      <c r="AL11" s="36"/>
      <c r="AM11" s="36"/>
      <c r="AN11" s="36"/>
      <c r="AP11" t="s">
        <v>24</v>
      </c>
    </row>
    <row r="12" spans="2:50" ht="11.25" customHeight="1" x14ac:dyDescent="0.25">
      <c r="B12" s="22">
        <f t="shared" ref="B12:F19" si="6">IF($AP$4=1,X3,IF($AP$4=2,AD3,IF($AP$4=3,AJ3,IF($AP$4=4,X12,IF($AP$4=5,AD12,IF($AP$4=6,AJ12,IF($AP$4=7,X21,IF($AP$4=8,AD21,IF($AP$4="b",1,IF($AP$4="w",0,IF($AP$4=9,AJ21,"")))))))))))</f>
        <v>0</v>
      </c>
      <c r="C12" s="22">
        <f t="shared" si="6"/>
        <v>0</v>
      </c>
      <c r="D12" s="22">
        <f t="shared" si="6"/>
        <v>0</v>
      </c>
      <c r="E12" s="22">
        <f t="shared" si="6"/>
        <v>0</v>
      </c>
      <c r="F12" s="22">
        <f t="shared" si="6"/>
        <v>0</v>
      </c>
      <c r="G12" s="23"/>
      <c r="H12" s="22">
        <f t="shared" ref="H12:L19" si="7">IF($AQ$4=1,X3,IF($AQ$4=2,AD3,IF($AQ$4=3,AJ3,IF($AQ$4=4,X12,IF($AQ$4=5,AD12,IF($AQ$4=6,AJ12,IF($AQ$4=7,X21,IF($AQ$4=8,AD21,IF($AQ$4="b",1,IF($AQ$4="w",0,IF($AQ$4=9,AJ21,"")))))))))))</f>
        <v>1</v>
      </c>
      <c r="I12" s="22">
        <f t="shared" si="7"/>
        <v>1</v>
      </c>
      <c r="J12" s="22">
        <f t="shared" si="7"/>
        <v>1</v>
      </c>
      <c r="K12" s="22">
        <f t="shared" si="7"/>
        <v>1</v>
      </c>
      <c r="L12" s="22">
        <f t="shared" si="7"/>
        <v>1</v>
      </c>
      <c r="M12" s="23"/>
      <c r="N12" s="22">
        <f t="shared" ref="N12:R19" si="8">IF($AR$4=1,X3,IF($AR$4=2,AD3,IF($AR$4=3,AJ3,IF($AR$4=4,X12,IF($AR$4=5,AD12,IF($AR$4=6,AJ12,IF($AR$4=7,X21,IF($AR$4=8,AD21,IF($AR$4="b",1,IF($AR$4="w",0,IF($AR$4=9,AJ21,"")))))))))))</f>
        <v>0</v>
      </c>
      <c r="O12" s="22">
        <f t="shared" si="8"/>
        <v>0</v>
      </c>
      <c r="P12" s="22">
        <f t="shared" si="8"/>
        <v>0</v>
      </c>
      <c r="Q12" s="22">
        <f t="shared" si="8"/>
        <v>0</v>
      </c>
      <c r="R12" s="22">
        <f t="shared" si="8"/>
        <v>0</v>
      </c>
      <c r="T12" s="3" t="s">
        <v>21</v>
      </c>
      <c r="U12" s="3" t="s">
        <v>21</v>
      </c>
      <c r="V12" s="3" t="s">
        <v>14</v>
      </c>
      <c r="X12" s="22" t="e">
        <f t="shared" ref="X12:AB19" si="9">MID(IF(TRUNC($T12)=32,DEC2BIN(0,5),DEC2BIN(TRUNC($T12),5)),1+COLUMN(X12)-COLUMN($X$12),1)</f>
        <v>#VALUE!</v>
      </c>
      <c r="Y12" s="22" t="e">
        <f t="shared" si="9"/>
        <v>#VALUE!</v>
      </c>
      <c r="Z12" s="22" t="e">
        <f t="shared" si="9"/>
        <v>#VALUE!</v>
      </c>
      <c r="AA12" s="22" t="e">
        <f t="shared" si="9"/>
        <v>#VALUE!</v>
      </c>
      <c r="AB12" s="22" t="e">
        <f t="shared" si="9"/>
        <v>#VALUE!</v>
      </c>
      <c r="AC12" s="23"/>
      <c r="AD12" s="22" t="e">
        <f t="shared" ref="AD12:AH19" si="10">MID(IF(TRUNC($U12)=32,DEC2BIN(0,5),DEC2BIN(TRUNC($U12),5)),1+COLUMN(AD12)-COLUMN($AD$12),1)</f>
        <v>#VALUE!</v>
      </c>
      <c r="AE12" s="22" t="e">
        <f t="shared" si="10"/>
        <v>#VALUE!</v>
      </c>
      <c r="AF12" s="22" t="e">
        <f t="shared" si="10"/>
        <v>#VALUE!</v>
      </c>
      <c r="AG12" s="22" t="e">
        <f t="shared" si="10"/>
        <v>#VALUE!</v>
      </c>
      <c r="AH12" s="22" t="e">
        <f t="shared" si="10"/>
        <v>#VALUE!</v>
      </c>
      <c r="AI12" s="23"/>
      <c r="AJ12" s="22" t="e">
        <f t="shared" ref="AJ12:AN19" si="11">MID(IF(TRUNC($V12)=32,DEC2BIN(0,5),DEC2BIN(TRUNC($V12),5)),1+COLUMN(AJ12)-COLUMN($AJ$12),1)</f>
        <v>#VALUE!</v>
      </c>
      <c r="AK12" s="22" t="e">
        <f t="shared" si="11"/>
        <v>#VALUE!</v>
      </c>
      <c r="AL12" s="22" t="e">
        <f t="shared" si="11"/>
        <v>#VALUE!</v>
      </c>
      <c r="AM12" s="22" t="e">
        <f t="shared" si="11"/>
        <v>#VALUE!</v>
      </c>
      <c r="AN12" s="22" t="e">
        <f t="shared" si="11"/>
        <v>#VALUE!</v>
      </c>
      <c r="AP12" t="s">
        <v>25</v>
      </c>
    </row>
    <row r="13" spans="2:50" ht="11.25" customHeight="1" x14ac:dyDescent="0.25">
      <c r="B13" s="22">
        <f t="shared" si="6"/>
        <v>0</v>
      </c>
      <c r="C13" s="22">
        <f t="shared" si="6"/>
        <v>0</v>
      </c>
      <c r="D13" s="22">
        <f t="shared" si="6"/>
        <v>0</v>
      </c>
      <c r="E13" s="22">
        <f t="shared" si="6"/>
        <v>0</v>
      </c>
      <c r="F13" s="22">
        <f t="shared" si="6"/>
        <v>0</v>
      </c>
      <c r="G13" s="23"/>
      <c r="H13" s="22">
        <f t="shared" si="7"/>
        <v>1</v>
      </c>
      <c r="I13" s="22">
        <f t="shared" si="7"/>
        <v>1</v>
      </c>
      <c r="J13" s="22">
        <f t="shared" si="7"/>
        <v>1</v>
      </c>
      <c r="K13" s="22">
        <f t="shared" si="7"/>
        <v>1</v>
      </c>
      <c r="L13" s="22">
        <f t="shared" si="7"/>
        <v>1</v>
      </c>
      <c r="M13" s="23"/>
      <c r="N13" s="22">
        <f t="shared" si="8"/>
        <v>0</v>
      </c>
      <c r="O13" s="22">
        <f t="shared" si="8"/>
        <v>0</v>
      </c>
      <c r="P13" s="22">
        <f t="shared" si="8"/>
        <v>0</v>
      </c>
      <c r="Q13" s="22">
        <f t="shared" si="8"/>
        <v>0</v>
      </c>
      <c r="R13" s="22">
        <f t="shared" si="8"/>
        <v>0</v>
      </c>
      <c r="T13" s="3" t="s">
        <v>21</v>
      </c>
      <c r="U13" s="3" t="s">
        <v>21</v>
      </c>
      <c r="V13" s="3" t="s">
        <v>19</v>
      </c>
      <c r="X13" s="22" t="e">
        <f t="shared" si="9"/>
        <v>#VALUE!</v>
      </c>
      <c r="Y13" s="22" t="e">
        <f t="shared" si="9"/>
        <v>#VALUE!</v>
      </c>
      <c r="Z13" s="22" t="e">
        <f t="shared" si="9"/>
        <v>#VALUE!</v>
      </c>
      <c r="AA13" s="22" t="e">
        <f t="shared" si="9"/>
        <v>#VALUE!</v>
      </c>
      <c r="AB13" s="22" t="e">
        <f t="shared" si="9"/>
        <v>#VALUE!</v>
      </c>
      <c r="AC13" s="23"/>
      <c r="AD13" s="22" t="e">
        <f t="shared" si="10"/>
        <v>#VALUE!</v>
      </c>
      <c r="AE13" s="22" t="e">
        <f t="shared" si="10"/>
        <v>#VALUE!</v>
      </c>
      <c r="AF13" s="22" t="e">
        <f t="shared" si="10"/>
        <v>#VALUE!</v>
      </c>
      <c r="AG13" s="22" t="e">
        <f t="shared" si="10"/>
        <v>#VALUE!</v>
      </c>
      <c r="AH13" s="22" t="e">
        <f t="shared" si="10"/>
        <v>#VALUE!</v>
      </c>
      <c r="AI13" s="23"/>
      <c r="AJ13" s="22" t="e">
        <f t="shared" si="11"/>
        <v>#VALUE!</v>
      </c>
      <c r="AK13" s="22" t="e">
        <f t="shared" si="11"/>
        <v>#VALUE!</v>
      </c>
      <c r="AL13" s="22" t="e">
        <f t="shared" si="11"/>
        <v>#VALUE!</v>
      </c>
      <c r="AM13" s="22" t="e">
        <f t="shared" si="11"/>
        <v>#VALUE!</v>
      </c>
      <c r="AN13" s="22" t="e">
        <f t="shared" si="11"/>
        <v>#VALUE!</v>
      </c>
    </row>
    <row r="14" spans="2:50" ht="11.25" customHeight="1" x14ac:dyDescent="0.25">
      <c r="B14" s="22">
        <f t="shared" si="6"/>
        <v>0</v>
      </c>
      <c r="C14" s="22">
        <f t="shared" si="6"/>
        <v>0</v>
      </c>
      <c r="D14" s="22">
        <f t="shared" si="6"/>
        <v>0</v>
      </c>
      <c r="E14" s="22">
        <f t="shared" si="6"/>
        <v>0</v>
      </c>
      <c r="F14" s="22">
        <f t="shared" si="6"/>
        <v>0</v>
      </c>
      <c r="G14" s="23"/>
      <c r="H14" s="22">
        <f t="shared" si="7"/>
        <v>1</v>
      </c>
      <c r="I14" s="22">
        <f t="shared" si="7"/>
        <v>1</v>
      </c>
      <c r="J14" s="22">
        <f t="shared" si="7"/>
        <v>1</v>
      </c>
      <c r="K14" s="22">
        <f t="shared" si="7"/>
        <v>1</v>
      </c>
      <c r="L14" s="22">
        <f t="shared" si="7"/>
        <v>1</v>
      </c>
      <c r="M14" s="23"/>
      <c r="N14" s="22">
        <f t="shared" si="8"/>
        <v>0</v>
      </c>
      <c r="O14" s="22">
        <f t="shared" si="8"/>
        <v>0</v>
      </c>
      <c r="P14" s="22">
        <f t="shared" si="8"/>
        <v>0</v>
      </c>
      <c r="Q14" s="22">
        <f t="shared" si="8"/>
        <v>0</v>
      </c>
      <c r="R14" s="22">
        <f t="shared" si="8"/>
        <v>0</v>
      </c>
      <c r="T14" s="3" t="s">
        <v>21</v>
      </c>
      <c r="U14" s="3" t="s">
        <v>21</v>
      </c>
      <c r="V14" s="3" t="s">
        <v>19</v>
      </c>
      <c r="X14" s="22" t="e">
        <f t="shared" si="9"/>
        <v>#VALUE!</v>
      </c>
      <c r="Y14" s="22" t="e">
        <f t="shared" si="9"/>
        <v>#VALUE!</v>
      </c>
      <c r="Z14" s="22" t="e">
        <f t="shared" si="9"/>
        <v>#VALUE!</v>
      </c>
      <c r="AA14" s="22" t="e">
        <f t="shared" si="9"/>
        <v>#VALUE!</v>
      </c>
      <c r="AB14" s="22" t="e">
        <f t="shared" si="9"/>
        <v>#VALUE!</v>
      </c>
      <c r="AC14" s="23"/>
      <c r="AD14" s="22" t="e">
        <f t="shared" si="10"/>
        <v>#VALUE!</v>
      </c>
      <c r="AE14" s="22" t="e">
        <f t="shared" si="10"/>
        <v>#VALUE!</v>
      </c>
      <c r="AF14" s="22" t="e">
        <f t="shared" si="10"/>
        <v>#VALUE!</v>
      </c>
      <c r="AG14" s="22" t="e">
        <f t="shared" si="10"/>
        <v>#VALUE!</v>
      </c>
      <c r="AH14" s="22" t="e">
        <f t="shared" si="10"/>
        <v>#VALUE!</v>
      </c>
      <c r="AI14" s="23"/>
      <c r="AJ14" s="22" t="e">
        <f t="shared" si="11"/>
        <v>#VALUE!</v>
      </c>
      <c r="AK14" s="22" t="e">
        <f t="shared" si="11"/>
        <v>#VALUE!</v>
      </c>
      <c r="AL14" s="22" t="e">
        <f t="shared" si="11"/>
        <v>#VALUE!</v>
      </c>
      <c r="AM14" s="22" t="e">
        <f t="shared" si="11"/>
        <v>#VALUE!</v>
      </c>
      <c r="AN14" s="22" t="e">
        <f t="shared" si="11"/>
        <v>#VALUE!</v>
      </c>
      <c r="AP14" s="31" t="s">
        <v>32</v>
      </c>
      <c r="AQ14" s="31"/>
      <c r="AR14" s="31"/>
      <c r="AS14" s="31"/>
      <c r="AT14" s="31"/>
      <c r="AU14" s="31"/>
      <c r="AV14" s="31"/>
    </row>
    <row r="15" spans="2:50" ht="11.25" customHeight="1" x14ac:dyDescent="0.25">
      <c r="B15" s="22">
        <f t="shared" si="6"/>
        <v>0</v>
      </c>
      <c r="C15" s="22">
        <f t="shared" si="6"/>
        <v>0</v>
      </c>
      <c r="D15" s="22">
        <f t="shared" si="6"/>
        <v>0</v>
      </c>
      <c r="E15" s="22">
        <f t="shared" si="6"/>
        <v>0</v>
      </c>
      <c r="F15" s="22">
        <f t="shared" si="6"/>
        <v>0</v>
      </c>
      <c r="G15" s="23"/>
      <c r="H15" s="22">
        <f t="shared" si="7"/>
        <v>1</v>
      </c>
      <c r="I15" s="22">
        <f t="shared" si="7"/>
        <v>1</v>
      </c>
      <c r="J15" s="22">
        <f t="shared" si="7"/>
        <v>1</v>
      </c>
      <c r="K15" s="22">
        <f t="shared" si="7"/>
        <v>1</v>
      </c>
      <c r="L15" s="22">
        <f t="shared" si="7"/>
        <v>1</v>
      </c>
      <c r="M15" s="23"/>
      <c r="N15" s="22">
        <f t="shared" si="8"/>
        <v>0</v>
      </c>
      <c r="O15" s="22">
        <f t="shared" si="8"/>
        <v>0</v>
      </c>
      <c r="P15" s="22">
        <f t="shared" si="8"/>
        <v>0</v>
      </c>
      <c r="Q15" s="22">
        <f t="shared" si="8"/>
        <v>0</v>
      </c>
      <c r="R15" s="22">
        <f t="shared" si="8"/>
        <v>0</v>
      </c>
      <c r="T15" s="3" t="s">
        <v>21</v>
      </c>
      <c r="U15" s="3" t="s">
        <v>21</v>
      </c>
      <c r="V15" s="6" t="s">
        <v>16</v>
      </c>
      <c r="X15" s="22" t="e">
        <f t="shared" si="9"/>
        <v>#VALUE!</v>
      </c>
      <c r="Y15" s="22" t="e">
        <f t="shared" si="9"/>
        <v>#VALUE!</v>
      </c>
      <c r="Z15" s="22" t="e">
        <f t="shared" si="9"/>
        <v>#VALUE!</v>
      </c>
      <c r="AA15" s="22" t="e">
        <f t="shared" si="9"/>
        <v>#VALUE!</v>
      </c>
      <c r="AB15" s="22" t="e">
        <f t="shared" si="9"/>
        <v>#VALUE!</v>
      </c>
      <c r="AC15" s="23"/>
      <c r="AD15" s="22" t="e">
        <f t="shared" si="10"/>
        <v>#VALUE!</v>
      </c>
      <c r="AE15" s="22" t="e">
        <f t="shared" si="10"/>
        <v>#VALUE!</v>
      </c>
      <c r="AF15" s="22" t="e">
        <f t="shared" si="10"/>
        <v>#VALUE!</v>
      </c>
      <c r="AG15" s="22" t="e">
        <f t="shared" si="10"/>
        <v>#VALUE!</v>
      </c>
      <c r="AH15" s="22" t="e">
        <f t="shared" si="10"/>
        <v>#VALUE!</v>
      </c>
      <c r="AI15" s="23"/>
      <c r="AJ15" s="22" t="e">
        <f t="shared" si="11"/>
        <v>#VALUE!</v>
      </c>
      <c r="AK15" s="22" t="e">
        <f t="shared" si="11"/>
        <v>#VALUE!</v>
      </c>
      <c r="AL15" s="22" t="e">
        <f t="shared" si="11"/>
        <v>#VALUE!</v>
      </c>
      <c r="AM15" s="22" t="e">
        <f t="shared" si="11"/>
        <v>#VALUE!</v>
      </c>
      <c r="AN15" s="22" t="e">
        <f t="shared" si="11"/>
        <v>#VALUE!</v>
      </c>
      <c r="AP15" s="31"/>
      <c r="AQ15" s="31"/>
      <c r="AR15" s="31"/>
      <c r="AS15" s="31"/>
      <c r="AT15" s="31"/>
      <c r="AU15" s="31"/>
      <c r="AV15" s="31"/>
    </row>
    <row r="16" spans="2:50" ht="11.25" customHeight="1" x14ac:dyDescent="0.25">
      <c r="B16" s="22">
        <f t="shared" si="6"/>
        <v>0</v>
      </c>
      <c r="C16" s="22">
        <f t="shared" si="6"/>
        <v>0</v>
      </c>
      <c r="D16" s="22">
        <f t="shared" si="6"/>
        <v>0</v>
      </c>
      <c r="E16" s="22">
        <f t="shared" si="6"/>
        <v>0</v>
      </c>
      <c r="F16" s="22">
        <f t="shared" si="6"/>
        <v>0</v>
      </c>
      <c r="G16" s="23"/>
      <c r="H16" s="22">
        <f t="shared" si="7"/>
        <v>1</v>
      </c>
      <c r="I16" s="22">
        <f t="shared" si="7"/>
        <v>1</v>
      </c>
      <c r="J16" s="22">
        <f t="shared" si="7"/>
        <v>1</v>
      </c>
      <c r="K16" s="22">
        <f t="shared" si="7"/>
        <v>1</v>
      </c>
      <c r="L16" s="22">
        <f t="shared" si="7"/>
        <v>1</v>
      </c>
      <c r="M16" s="23"/>
      <c r="N16" s="22">
        <f t="shared" si="8"/>
        <v>0</v>
      </c>
      <c r="O16" s="22">
        <f t="shared" si="8"/>
        <v>0</v>
      </c>
      <c r="P16" s="22">
        <f t="shared" si="8"/>
        <v>0</v>
      </c>
      <c r="Q16" s="22">
        <f t="shared" si="8"/>
        <v>0</v>
      </c>
      <c r="R16" s="22">
        <f t="shared" si="8"/>
        <v>0</v>
      </c>
      <c r="T16" s="3" t="s">
        <v>21</v>
      </c>
      <c r="U16" s="3" t="s">
        <v>21</v>
      </c>
      <c r="V16" s="6" t="s">
        <v>16</v>
      </c>
      <c r="X16" s="22" t="e">
        <f t="shared" si="9"/>
        <v>#VALUE!</v>
      </c>
      <c r="Y16" s="22" t="e">
        <f t="shared" si="9"/>
        <v>#VALUE!</v>
      </c>
      <c r="Z16" s="22" t="e">
        <f t="shared" si="9"/>
        <v>#VALUE!</v>
      </c>
      <c r="AA16" s="22" t="e">
        <f t="shared" si="9"/>
        <v>#VALUE!</v>
      </c>
      <c r="AB16" s="22" t="e">
        <f t="shared" si="9"/>
        <v>#VALUE!</v>
      </c>
      <c r="AC16" s="23"/>
      <c r="AD16" s="22" t="e">
        <f t="shared" si="10"/>
        <v>#VALUE!</v>
      </c>
      <c r="AE16" s="22" t="e">
        <f t="shared" si="10"/>
        <v>#VALUE!</v>
      </c>
      <c r="AF16" s="22" t="e">
        <f t="shared" si="10"/>
        <v>#VALUE!</v>
      </c>
      <c r="AG16" s="22" t="e">
        <f t="shared" si="10"/>
        <v>#VALUE!</v>
      </c>
      <c r="AH16" s="22" t="e">
        <f t="shared" si="10"/>
        <v>#VALUE!</v>
      </c>
      <c r="AI16" s="23"/>
      <c r="AJ16" s="22" t="e">
        <f t="shared" si="11"/>
        <v>#VALUE!</v>
      </c>
      <c r="AK16" s="22" t="e">
        <f t="shared" si="11"/>
        <v>#VALUE!</v>
      </c>
      <c r="AL16" s="22" t="e">
        <f t="shared" si="11"/>
        <v>#VALUE!</v>
      </c>
      <c r="AM16" s="22" t="e">
        <f t="shared" si="11"/>
        <v>#VALUE!</v>
      </c>
      <c r="AN16" s="22" t="e">
        <f t="shared" si="11"/>
        <v>#VALUE!</v>
      </c>
    </row>
    <row r="17" spans="2:40" ht="11.25" customHeight="1" x14ac:dyDescent="0.25">
      <c r="B17" s="22">
        <f t="shared" si="6"/>
        <v>0</v>
      </c>
      <c r="C17" s="22">
        <f t="shared" si="6"/>
        <v>0</v>
      </c>
      <c r="D17" s="22">
        <f t="shared" si="6"/>
        <v>0</v>
      </c>
      <c r="E17" s="22">
        <f t="shared" si="6"/>
        <v>0</v>
      </c>
      <c r="F17" s="22">
        <f t="shared" si="6"/>
        <v>0</v>
      </c>
      <c r="G17" s="23"/>
      <c r="H17" s="22">
        <f t="shared" si="7"/>
        <v>1</v>
      </c>
      <c r="I17" s="22">
        <f t="shared" si="7"/>
        <v>1</v>
      </c>
      <c r="J17" s="22">
        <f t="shared" si="7"/>
        <v>1</v>
      </c>
      <c r="K17" s="22">
        <f t="shared" si="7"/>
        <v>1</v>
      </c>
      <c r="L17" s="22">
        <f t="shared" si="7"/>
        <v>1</v>
      </c>
      <c r="M17" s="23"/>
      <c r="N17" s="22">
        <f t="shared" si="8"/>
        <v>0</v>
      </c>
      <c r="O17" s="22">
        <f t="shared" si="8"/>
        <v>0</v>
      </c>
      <c r="P17" s="22">
        <f t="shared" si="8"/>
        <v>0</v>
      </c>
      <c r="Q17" s="22">
        <f t="shared" si="8"/>
        <v>0</v>
      </c>
      <c r="R17" s="22">
        <f t="shared" si="8"/>
        <v>0</v>
      </c>
      <c r="T17" s="3" t="s">
        <v>21</v>
      </c>
      <c r="U17" s="3" t="s">
        <v>21</v>
      </c>
      <c r="V17" s="3" t="s">
        <v>16</v>
      </c>
      <c r="X17" s="22" t="e">
        <f t="shared" si="9"/>
        <v>#VALUE!</v>
      </c>
      <c r="Y17" s="22" t="e">
        <f t="shared" si="9"/>
        <v>#VALUE!</v>
      </c>
      <c r="Z17" s="22" t="e">
        <f t="shared" si="9"/>
        <v>#VALUE!</v>
      </c>
      <c r="AA17" s="22" t="e">
        <f t="shared" si="9"/>
        <v>#VALUE!</v>
      </c>
      <c r="AB17" s="22" t="e">
        <f t="shared" si="9"/>
        <v>#VALUE!</v>
      </c>
      <c r="AC17" s="23"/>
      <c r="AD17" s="22" t="e">
        <f t="shared" si="10"/>
        <v>#VALUE!</v>
      </c>
      <c r="AE17" s="22" t="e">
        <f t="shared" si="10"/>
        <v>#VALUE!</v>
      </c>
      <c r="AF17" s="22" t="e">
        <f t="shared" si="10"/>
        <v>#VALUE!</v>
      </c>
      <c r="AG17" s="22" t="e">
        <f t="shared" si="10"/>
        <v>#VALUE!</v>
      </c>
      <c r="AH17" s="22" t="e">
        <f t="shared" si="10"/>
        <v>#VALUE!</v>
      </c>
      <c r="AI17" s="23"/>
      <c r="AJ17" s="22" t="e">
        <f t="shared" si="11"/>
        <v>#VALUE!</v>
      </c>
      <c r="AK17" s="22" t="e">
        <f t="shared" si="11"/>
        <v>#VALUE!</v>
      </c>
      <c r="AL17" s="22" t="e">
        <f t="shared" si="11"/>
        <v>#VALUE!</v>
      </c>
      <c r="AM17" s="22" t="e">
        <f t="shared" si="11"/>
        <v>#VALUE!</v>
      </c>
      <c r="AN17" s="22" t="e">
        <f t="shared" si="11"/>
        <v>#VALUE!</v>
      </c>
    </row>
    <row r="18" spans="2:40" ht="11.25" customHeight="1" x14ac:dyDescent="0.25">
      <c r="B18" s="22">
        <f t="shared" si="6"/>
        <v>0</v>
      </c>
      <c r="C18" s="22">
        <f t="shared" si="6"/>
        <v>0</v>
      </c>
      <c r="D18" s="22">
        <f t="shared" si="6"/>
        <v>0</v>
      </c>
      <c r="E18" s="22">
        <f t="shared" si="6"/>
        <v>0</v>
      </c>
      <c r="F18" s="22">
        <f t="shared" si="6"/>
        <v>0</v>
      </c>
      <c r="G18" s="23"/>
      <c r="H18" s="22">
        <f t="shared" si="7"/>
        <v>1</v>
      </c>
      <c r="I18" s="22">
        <f t="shared" si="7"/>
        <v>1</v>
      </c>
      <c r="J18" s="22">
        <f t="shared" si="7"/>
        <v>1</v>
      </c>
      <c r="K18" s="22">
        <f t="shared" si="7"/>
        <v>1</v>
      </c>
      <c r="L18" s="22">
        <f t="shared" si="7"/>
        <v>1</v>
      </c>
      <c r="M18" s="23"/>
      <c r="N18" s="22">
        <f t="shared" si="8"/>
        <v>0</v>
      </c>
      <c r="O18" s="22">
        <f t="shared" si="8"/>
        <v>0</v>
      </c>
      <c r="P18" s="22">
        <f t="shared" si="8"/>
        <v>0</v>
      </c>
      <c r="Q18" s="22">
        <f t="shared" si="8"/>
        <v>0</v>
      </c>
      <c r="R18" s="22">
        <f t="shared" si="8"/>
        <v>0</v>
      </c>
      <c r="T18" s="3" t="s">
        <v>21</v>
      </c>
      <c r="U18" s="3" t="s">
        <v>21</v>
      </c>
      <c r="V18" s="3" t="s">
        <v>16</v>
      </c>
      <c r="X18" s="22" t="e">
        <f t="shared" si="9"/>
        <v>#VALUE!</v>
      </c>
      <c r="Y18" s="22" t="e">
        <f t="shared" si="9"/>
        <v>#VALUE!</v>
      </c>
      <c r="Z18" s="22" t="e">
        <f t="shared" si="9"/>
        <v>#VALUE!</v>
      </c>
      <c r="AA18" s="22" t="e">
        <f t="shared" si="9"/>
        <v>#VALUE!</v>
      </c>
      <c r="AB18" s="22" t="e">
        <f t="shared" si="9"/>
        <v>#VALUE!</v>
      </c>
      <c r="AC18" s="23"/>
      <c r="AD18" s="22" t="e">
        <f t="shared" si="10"/>
        <v>#VALUE!</v>
      </c>
      <c r="AE18" s="22" t="e">
        <f t="shared" si="10"/>
        <v>#VALUE!</v>
      </c>
      <c r="AF18" s="22" t="e">
        <f t="shared" si="10"/>
        <v>#VALUE!</v>
      </c>
      <c r="AG18" s="22" t="e">
        <f t="shared" si="10"/>
        <v>#VALUE!</v>
      </c>
      <c r="AH18" s="22" t="e">
        <f t="shared" si="10"/>
        <v>#VALUE!</v>
      </c>
      <c r="AI18" s="23"/>
      <c r="AJ18" s="22" t="e">
        <f t="shared" si="11"/>
        <v>#VALUE!</v>
      </c>
      <c r="AK18" s="22" t="e">
        <f t="shared" si="11"/>
        <v>#VALUE!</v>
      </c>
      <c r="AL18" s="22" t="e">
        <f t="shared" si="11"/>
        <v>#VALUE!</v>
      </c>
      <c r="AM18" s="22" t="e">
        <f t="shared" si="11"/>
        <v>#VALUE!</v>
      </c>
      <c r="AN18" s="22" t="e">
        <f t="shared" si="11"/>
        <v>#VALUE!</v>
      </c>
    </row>
    <row r="19" spans="2:40" ht="11.25" customHeight="1" x14ac:dyDescent="0.25">
      <c r="B19" s="22">
        <f t="shared" si="6"/>
        <v>0</v>
      </c>
      <c r="C19" s="22">
        <f t="shared" si="6"/>
        <v>0</v>
      </c>
      <c r="D19" s="22">
        <f t="shared" si="6"/>
        <v>0</v>
      </c>
      <c r="E19" s="22">
        <f t="shared" si="6"/>
        <v>0</v>
      </c>
      <c r="F19" s="22">
        <f t="shared" si="6"/>
        <v>0</v>
      </c>
      <c r="G19" s="23"/>
      <c r="H19" s="22">
        <f t="shared" si="7"/>
        <v>1</v>
      </c>
      <c r="I19" s="22">
        <f t="shared" si="7"/>
        <v>1</v>
      </c>
      <c r="J19" s="22">
        <f t="shared" si="7"/>
        <v>1</v>
      </c>
      <c r="K19" s="22">
        <f t="shared" si="7"/>
        <v>1</v>
      </c>
      <c r="L19" s="22">
        <f t="shared" si="7"/>
        <v>1</v>
      </c>
      <c r="M19" s="23"/>
      <c r="N19" s="22">
        <f t="shared" si="8"/>
        <v>0</v>
      </c>
      <c r="O19" s="22">
        <f t="shared" si="8"/>
        <v>0</v>
      </c>
      <c r="P19" s="22">
        <f t="shared" si="8"/>
        <v>0</v>
      </c>
      <c r="Q19" s="22">
        <f t="shared" si="8"/>
        <v>0</v>
      </c>
      <c r="R19" s="22">
        <f t="shared" si="8"/>
        <v>0</v>
      </c>
      <c r="T19" s="3" t="s">
        <v>22</v>
      </c>
      <c r="U19" s="3" t="s">
        <v>22</v>
      </c>
      <c r="V19" s="3" t="s">
        <v>23</v>
      </c>
      <c r="X19" s="22" t="str">
        <f t="shared" si="9"/>
        <v>0</v>
      </c>
      <c r="Y19" s="22" t="str">
        <f t="shared" si="9"/>
        <v>0</v>
      </c>
      <c r="Z19" s="22" t="str">
        <f t="shared" si="9"/>
        <v>0</v>
      </c>
      <c r="AA19" s="22" t="str">
        <f t="shared" si="9"/>
        <v>0</v>
      </c>
      <c r="AB19" s="22" t="str">
        <f t="shared" si="9"/>
        <v>0</v>
      </c>
      <c r="AC19" s="23"/>
      <c r="AD19" s="22" t="str">
        <f t="shared" si="10"/>
        <v>0</v>
      </c>
      <c r="AE19" s="22" t="str">
        <f t="shared" si="10"/>
        <v>0</v>
      </c>
      <c r="AF19" s="22" t="str">
        <f t="shared" si="10"/>
        <v>0</v>
      </c>
      <c r="AG19" s="22" t="str">
        <f t="shared" si="10"/>
        <v>0</v>
      </c>
      <c r="AH19" s="22" t="str">
        <f t="shared" si="10"/>
        <v>0</v>
      </c>
      <c r="AI19" s="23"/>
      <c r="AJ19" s="22" t="str">
        <f t="shared" si="11"/>
        <v>1</v>
      </c>
      <c r="AK19" s="22" t="str">
        <f t="shared" si="11"/>
        <v>1</v>
      </c>
      <c r="AL19" s="22" t="str">
        <f t="shared" si="11"/>
        <v>1</v>
      </c>
      <c r="AM19" s="22" t="str">
        <f t="shared" si="11"/>
        <v>1</v>
      </c>
      <c r="AN19" s="22" t="str">
        <f t="shared" si="11"/>
        <v>1</v>
      </c>
    </row>
    <row r="20" spans="2:40" ht="11.25" customHeight="1" x14ac:dyDescent="0.25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T20" s="8">
        <v>7</v>
      </c>
      <c r="U20" s="8">
        <v>8</v>
      </c>
      <c r="V20" s="8">
        <v>9</v>
      </c>
      <c r="X20" s="36">
        <v>7</v>
      </c>
      <c r="Y20" s="36"/>
      <c r="Z20" s="36"/>
      <c r="AA20" s="36"/>
      <c r="AB20" s="36"/>
      <c r="AC20" s="23"/>
      <c r="AD20" s="36">
        <v>8</v>
      </c>
      <c r="AE20" s="36"/>
      <c r="AF20" s="36"/>
      <c r="AG20" s="36"/>
      <c r="AH20" s="36"/>
      <c r="AI20" s="23"/>
      <c r="AJ20" s="36">
        <v>9</v>
      </c>
      <c r="AK20" s="36"/>
      <c r="AL20" s="36"/>
      <c r="AM20" s="36"/>
      <c r="AN20" s="36"/>
    </row>
    <row r="21" spans="2:40" ht="11.25" customHeight="1" x14ac:dyDescent="0.25">
      <c r="B21" s="22" t="e">
        <f t="shared" ref="B21:F28" si="12">IF($AP$5=1,X3,IF($AP$5=2,AD3,IF($AP$5=3,AJ3,IF($AP$5=4,X12,IF($AP$5=5,AD12,IF($AP$5=6,AJ12,IF($AP$5=7,X21,IF($AP$5=8,AD21,IF($AP$5="b",1,IF($AP$5="w",0,IF($AP$5=9,AJ21,"")))))))))))</f>
        <v>#VALUE!</v>
      </c>
      <c r="C21" s="22" t="e">
        <f t="shared" si="12"/>
        <v>#VALUE!</v>
      </c>
      <c r="D21" s="22" t="e">
        <f t="shared" si="12"/>
        <v>#VALUE!</v>
      </c>
      <c r="E21" s="22" t="e">
        <f t="shared" si="12"/>
        <v>#VALUE!</v>
      </c>
      <c r="F21" s="22" t="e">
        <f t="shared" si="12"/>
        <v>#VALUE!</v>
      </c>
      <c r="G21" s="23"/>
      <c r="H21" s="22" t="e">
        <f t="shared" ref="H21:L28" si="13">IF($AQ$5=1,X3,IF($AQ$5=2,AD3,IF($AQ$5=3,AJ3,IF($AQ$5=4,X12,IF($AQ$5=5,AD12,IF($AQ$5=6,AJ12,IF($AQ$5=7,X21,IF($AQ$5=8,AD21,IF($AQ$5="b",1,IF($AQ$5="w",0,IF($AQ$5=9,AJ21,"")))))))))))</f>
        <v>#VALUE!</v>
      </c>
      <c r="I21" s="22" t="e">
        <f t="shared" si="13"/>
        <v>#VALUE!</v>
      </c>
      <c r="J21" s="22" t="e">
        <f t="shared" si="13"/>
        <v>#VALUE!</v>
      </c>
      <c r="K21" s="22" t="e">
        <f t="shared" si="13"/>
        <v>#VALUE!</v>
      </c>
      <c r="L21" s="22" t="e">
        <f t="shared" si="13"/>
        <v>#VALUE!</v>
      </c>
      <c r="M21" s="23"/>
      <c r="N21" s="22" t="e">
        <f t="shared" ref="N21:R28" si="14">IF($AR$5=1,X3,IF($AR$5=2,AD3,IF($AR$5=3,AJ3,IF($AR$5=4,X12,IF($AR$5=5,AD12,IF($AR$5=6,AJ12,IF($AR$5=7,X21,IF($AR$5=8,AD21,IF($AR$5="b",1,IF($AR$5="w",0,IF($AR$5=9,AJ21,"")))))))))))</f>
        <v>#VALUE!</v>
      </c>
      <c r="O21" s="22" t="e">
        <f t="shared" si="14"/>
        <v>#VALUE!</v>
      </c>
      <c r="P21" s="22" t="e">
        <f t="shared" si="14"/>
        <v>#VALUE!</v>
      </c>
      <c r="Q21" s="22" t="e">
        <f t="shared" si="14"/>
        <v>#VALUE!</v>
      </c>
      <c r="R21" s="22" t="e">
        <f t="shared" si="14"/>
        <v>#VALUE!</v>
      </c>
      <c r="T21" s="3" t="s">
        <v>15</v>
      </c>
      <c r="U21" s="3" t="s">
        <v>21</v>
      </c>
      <c r="V21" s="3" t="s">
        <v>21</v>
      </c>
      <c r="X21" s="22" t="e">
        <f t="shared" ref="X21:AB28" si="15">MID(IF(TRUNC($T21)=32,DEC2BIN(0,5),DEC2BIN(TRUNC($T21),5)),1+COLUMN(X21)-COLUMN($X$21),1)</f>
        <v>#VALUE!</v>
      </c>
      <c r="Y21" s="22" t="e">
        <f t="shared" si="15"/>
        <v>#VALUE!</v>
      </c>
      <c r="Z21" s="22" t="e">
        <f t="shared" si="15"/>
        <v>#VALUE!</v>
      </c>
      <c r="AA21" s="22" t="e">
        <f t="shared" si="15"/>
        <v>#VALUE!</v>
      </c>
      <c r="AB21" s="22" t="e">
        <f t="shared" si="15"/>
        <v>#VALUE!</v>
      </c>
      <c r="AC21" s="23"/>
      <c r="AD21" s="22" t="e">
        <f t="shared" ref="AD21:AH28" si="16">MID(IF(TRUNC($U21)=32,DEC2BIN(0,5),DEC2BIN(TRUNC($U21),5)),1+COLUMN(AD21)-COLUMN($AD$21),1)</f>
        <v>#VALUE!</v>
      </c>
      <c r="AE21" s="22" t="e">
        <f t="shared" si="16"/>
        <v>#VALUE!</v>
      </c>
      <c r="AF21" s="22" t="e">
        <f t="shared" si="16"/>
        <v>#VALUE!</v>
      </c>
      <c r="AG21" s="22" t="e">
        <f t="shared" si="16"/>
        <v>#VALUE!</v>
      </c>
      <c r="AH21" s="22" t="e">
        <f t="shared" si="16"/>
        <v>#VALUE!</v>
      </c>
      <c r="AI21" s="23"/>
      <c r="AJ21" s="22" t="e">
        <f t="shared" ref="AJ21:AN28" si="17">MID(IF(TRUNC($V21)=32,DEC2BIN(0,5),DEC2BIN(TRUNC($V21),5)),1+COLUMN(AJ21)-COLUMN($AJ$21),1)</f>
        <v>#VALUE!</v>
      </c>
      <c r="AK21" s="22" t="e">
        <f t="shared" si="17"/>
        <v>#VALUE!</v>
      </c>
      <c r="AL21" s="22" t="e">
        <f t="shared" si="17"/>
        <v>#VALUE!</v>
      </c>
      <c r="AM21" s="22" t="e">
        <f t="shared" si="17"/>
        <v>#VALUE!</v>
      </c>
      <c r="AN21" s="22" t="e">
        <f t="shared" si="17"/>
        <v>#VALUE!</v>
      </c>
    </row>
    <row r="22" spans="2:40" ht="11.25" customHeight="1" x14ac:dyDescent="0.25">
      <c r="B22" s="22" t="e">
        <f t="shared" si="12"/>
        <v>#VALUE!</v>
      </c>
      <c r="C22" s="22" t="e">
        <f t="shared" si="12"/>
        <v>#VALUE!</v>
      </c>
      <c r="D22" s="22" t="e">
        <f t="shared" si="12"/>
        <v>#VALUE!</v>
      </c>
      <c r="E22" s="22" t="e">
        <f t="shared" si="12"/>
        <v>#VALUE!</v>
      </c>
      <c r="F22" s="22" t="e">
        <f t="shared" si="12"/>
        <v>#VALUE!</v>
      </c>
      <c r="G22" s="23"/>
      <c r="H22" s="22" t="e">
        <f t="shared" si="13"/>
        <v>#VALUE!</v>
      </c>
      <c r="I22" s="22" t="e">
        <f t="shared" si="13"/>
        <v>#VALUE!</v>
      </c>
      <c r="J22" s="22" t="e">
        <f t="shared" si="13"/>
        <v>#VALUE!</v>
      </c>
      <c r="K22" s="22" t="e">
        <f t="shared" si="13"/>
        <v>#VALUE!</v>
      </c>
      <c r="L22" s="22" t="e">
        <f t="shared" si="13"/>
        <v>#VALUE!</v>
      </c>
      <c r="M22" s="23"/>
      <c r="N22" s="22" t="e">
        <f t="shared" si="14"/>
        <v>#VALUE!</v>
      </c>
      <c r="O22" s="22" t="e">
        <f t="shared" si="14"/>
        <v>#VALUE!</v>
      </c>
      <c r="P22" s="22" t="e">
        <f t="shared" si="14"/>
        <v>#VALUE!</v>
      </c>
      <c r="Q22" s="22" t="e">
        <f t="shared" si="14"/>
        <v>#VALUE!</v>
      </c>
      <c r="R22" s="22" t="e">
        <f t="shared" si="14"/>
        <v>#VALUE!</v>
      </c>
      <c r="T22" s="3" t="s">
        <v>20</v>
      </c>
      <c r="U22" s="3" t="s">
        <v>21</v>
      </c>
      <c r="V22" s="3" t="s">
        <v>21</v>
      </c>
      <c r="X22" s="22" t="e">
        <f t="shared" si="15"/>
        <v>#VALUE!</v>
      </c>
      <c r="Y22" s="22" t="e">
        <f t="shared" si="15"/>
        <v>#VALUE!</v>
      </c>
      <c r="Z22" s="22" t="e">
        <f t="shared" si="15"/>
        <v>#VALUE!</v>
      </c>
      <c r="AA22" s="22" t="e">
        <f t="shared" si="15"/>
        <v>#VALUE!</v>
      </c>
      <c r="AB22" s="22" t="e">
        <f t="shared" si="15"/>
        <v>#VALUE!</v>
      </c>
      <c r="AC22" s="23"/>
      <c r="AD22" s="22" t="e">
        <f t="shared" si="16"/>
        <v>#VALUE!</v>
      </c>
      <c r="AE22" s="22" t="e">
        <f t="shared" si="16"/>
        <v>#VALUE!</v>
      </c>
      <c r="AF22" s="22" t="e">
        <f t="shared" si="16"/>
        <v>#VALUE!</v>
      </c>
      <c r="AG22" s="22" t="e">
        <f t="shared" si="16"/>
        <v>#VALUE!</v>
      </c>
      <c r="AH22" s="22" t="e">
        <f t="shared" si="16"/>
        <v>#VALUE!</v>
      </c>
      <c r="AI22" s="23"/>
      <c r="AJ22" s="22" t="e">
        <f t="shared" si="17"/>
        <v>#VALUE!</v>
      </c>
      <c r="AK22" s="22" t="e">
        <f t="shared" si="17"/>
        <v>#VALUE!</v>
      </c>
      <c r="AL22" s="22" t="e">
        <f t="shared" si="17"/>
        <v>#VALUE!</v>
      </c>
      <c r="AM22" s="22" t="e">
        <f t="shared" si="17"/>
        <v>#VALUE!</v>
      </c>
      <c r="AN22" s="22" t="e">
        <f t="shared" si="17"/>
        <v>#VALUE!</v>
      </c>
    </row>
    <row r="23" spans="2:40" ht="11.25" customHeight="1" x14ac:dyDescent="0.25">
      <c r="B23" s="22" t="e">
        <f t="shared" si="12"/>
        <v>#VALUE!</v>
      </c>
      <c r="C23" s="22" t="e">
        <f t="shared" si="12"/>
        <v>#VALUE!</v>
      </c>
      <c r="D23" s="22" t="e">
        <f t="shared" si="12"/>
        <v>#VALUE!</v>
      </c>
      <c r="E23" s="22" t="e">
        <f t="shared" si="12"/>
        <v>#VALUE!</v>
      </c>
      <c r="F23" s="22" t="e">
        <f t="shared" si="12"/>
        <v>#VALUE!</v>
      </c>
      <c r="G23" s="23"/>
      <c r="H23" s="22" t="e">
        <f t="shared" si="13"/>
        <v>#VALUE!</v>
      </c>
      <c r="I23" s="22" t="e">
        <f t="shared" si="13"/>
        <v>#VALUE!</v>
      </c>
      <c r="J23" s="22" t="e">
        <f t="shared" si="13"/>
        <v>#VALUE!</v>
      </c>
      <c r="K23" s="22" t="e">
        <f t="shared" si="13"/>
        <v>#VALUE!</v>
      </c>
      <c r="L23" s="22" t="e">
        <f t="shared" si="13"/>
        <v>#VALUE!</v>
      </c>
      <c r="M23" s="23"/>
      <c r="N23" s="22" t="e">
        <f t="shared" si="14"/>
        <v>#VALUE!</v>
      </c>
      <c r="O23" s="22" t="e">
        <f t="shared" si="14"/>
        <v>#VALUE!</v>
      </c>
      <c r="P23" s="22" t="e">
        <f t="shared" si="14"/>
        <v>#VALUE!</v>
      </c>
      <c r="Q23" s="22" t="e">
        <f t="shared" si="14"/>
        <v>#VALUE!</v>
      </c>
      <c r="R23" s="22" t="e">
        <f t="shared" si="14"/>
        <v>#VALUE!</v>
      </c>
      <c r="T23" s="3" t="s">
        <v>20</v>
      </c>
      <c r="U23" s="3" t="s">
        <v>21</v>
      </c>
      <c r="V23" s="3" t="s">
        <v>21</v>
      </c>
      <c r="X23" s="22" t="e">
        <f t="shared" si="15"/>
        <v>#VALUE!</v>
      </c>
      <c r="Y23" s="22" t="e">
        <f t="shared" si="15"/>
        <v>#VALUE!</v>
      </c>
      <c r="Z23" s="22" t="e">
        <f t="shared" si="15"/>
        <v>#VALUE!</v>
      </c>
      <c r="AA23" s="22" t="e">
        <f t="shared" si="15"/>
        <v>#VALUE!</v>
      </c>
      <c r="AB23" s="22" t="e">
        <f t="shared" si="15"/>
        <v>#VALUE!</v>
      </c>
      <c r="AC23" s="23"/>
      <c r="AD23" s="22" t="e">
        <f t="shared" si="16"/>
        <v>#VALUE!</v>
      </c>
      <c r="AE23" s="22" t="e">
        <f t="shared" si="16"/>
        <v>#VALUE!</v>
      </c>
      <c r="AF23" s="22" t="e">
        <f t="shared" si="16"/>
        <v>#VALUE!</v>
      </c>
      <c r="AG23" s="22" t="e">
        <f t="shared" si="16"/>
        <v>#VALUE!</v>
      </c>
      <c r="AH23" s="22" t="e">
        <f t="shared" si="16"/>
        <v>#VALUE!</v>
      </c>
      <c r="AI23" s="23"/>
      <c r="AJ23" s="22" t="e">
        <f t="shared" si="17"/>
        <v>#VALUE!</v>
      </c>
      <c r="AK23" s="22" t="e">
        <f t="shared" si="17"/>
        <v>#VALUE!</v>
      </c>
      <c r="AL23" s="22" t="e">
        <f t="shared" si="17"/>
        <v>#VALUE!</v>
      </c>
      <c r="AM23" s="22" t="e">
        <f t="shared" si="17"/>
        <v>#VALUE!</v>
      </c>
      <c r="AN23" s="22" t="e">
        <f t="shared" si="17"/>
        <v>#VALUE!</v>
      </c>
    </row>
    <row r="24" spans="2:40" ht="11.25" customHeight="1" x14ac:dyDescent="0.25">
      <c r="B24" s="22" t="e">
        <f t="shared" si="12"/>
        <v>#VALUE!</v>
      </c>
      <c r="C24" s="22" t="e">
        <f t="shared" si="12"/>
        <v>#VALUE!</v>
      </c>
      <c r="D24" s="22" t="e">
        <f t="shared" si="12"/>
        <v>#VALUE!</v>
      </c>
      <c r="E24" s="22" t="e">
        <f t="shared" si="12"/>
        <v>#VALUE!</v>
      </c>
      <c r="F24" s="22" t="e">
        <f t="shared" si="12"/>
        <v>#VALUE!</v>
      </c>
      <c r="G24" s="23"/>
      <c r="H24" s="22" t="e">
        <f t="shared" si="13"/>
        <v>#VALUE!</v>
      </c>
      <c r="I24" s="22" t="e">
        <f t="shared" si="13"/>
        <v>#VALUE!</v>
      </c>
      <c r="J24" s="22" t="e">
        <f t="shared" si="13"/>
        <v>#VALUE!</v>
      </c>
      <c r="K24" s="22" t="e">
        <f t="shared" si="13"/>
        <v>#VALUE!</v>
      </c>
      <c r="L24" s="22" t="e">
        <f t="shared" si="13"/>
        <v>#VALUE!</v>
      </c>
      <c r="M24" s="23"/>
      <c r="N24" s="22" t="e">
        <f t="shared" si="14"/>
        <v>#VALUE!</v>
      </c>
      <c r="O24" s="22" t="e">
        <f t="shared" si="14"/>
        <v>#VALUE!</v>
      </c>
      <c r="P24" s="22" t="e">
        <f t="shared" si="14"/>
        <v>#VALUE!</v>
      </c>
      <c r="Q24" s="22" t="e">
        <f t="shared" si="14"/>
        <v>#VALUE!</v>
      </c>
      <c r="R24" s="22" t="e">
        <f t="shared" si="14"/>
        <v>#VALUE!</v>
      </c>
      <c r="T24" s="3" t="s">
        <v>16</v>
      </c>
      <c r="U24" s="3" t="s">
        <v>21</v>
      </c>
      <c r="V24" s="3" t="s">
        <v>21</v>
      </c>
      <c r="X24" s="22" t="e">
        <f t="shared" si="15"/>
        <v>#VALUE!</v>
      </c>
      <c r="Y24" s="22" t="e">
        <f t="shared" si="15"/>
        <v>#VALUE!</v>
      </c>
      <c r="Z24" s="22" t="e">
        <f t="shared" si="15"/>
        <v>#VALUE!</v>
      </c>
      <c r="AA24" s="22" t="e">
        <f t="shared" si="15"/>
        <v>#VALUE!</v>
      </c>
      <c r="AB24" s="22" t="e">
        <f t="shared" si="15"/>
        <v>#VALUE!</v>
      </c>
      <c r="AC24" s="23"/>
      <c r="AD24" s="22" t="e">
        <f t="shared" si="16"/>
        <v>#VALUE!</v>
      </c>
      <c r="AE24" s="22" t="e">
        <f t="shared" si="16"/>
        <v>#VALUE!</v>
      </c>
      <c r="AF24" s="22" t="e">
        <f t="shared" si="16"/>
        <v>#VALUE!</v>
      </c>
      <c r="AG24" s="22" t="e">
        <f t="shared" si="16"/>
        <v>#VALUE!</v>
      </c>
      <c r="AH24" s="22" t="e">
        <f t="shared" si="16"/>
        <v>#VALUE!</v>
      </c>
      <c r="AI24" s="23"/>
      <c r="AJ24" s="22" t="e">
        <f t="shared" si="17"/>
        <v>#VALUE!</v>
      </c>
      <c r="AK24" s="22" t="e">
        <f t="shared" si="17"/>
        <v>#VALUE!</v>
      </c>
      <c r="AL24" s="22" t="e">
        <f t="shared" si="17"/>
        <v>#VALUE!</v>
      </c>
      <c r="AM24" s="22" t="e">
        <f t="shared" si="17"/>
        <v>#VALUE!</v>
      </c>
      <c r="AN24" s="22" t="e">
        <f t="shared" si="17"/>
        <v>#VALUE!</v>
      </c>
    </row>
    <row r="25" spans="2:40" ht="11.25" customHeight="1" x14ac:dyDescent="0.25">
      <c r="B25" s="22" t="e">
        <f t="shared" si="12"/>
        <v>#VALUE!</v>
      </c>
      <c r="C25" s="22" t="e">
        <f t="shared" si="12"/>
        <v>#VALUE!</v>
      </c>
      <c r="D25" s="22" t="e">
        <f t="shared" si="12"/>
        <v>#VALUE!</v>
      </c>
      <c r="E25" s="22" t="e">
        <f t="shared" si="12"/>
        <v>#VALUE!</v>
      </c>
      <c r="F25" s="22" t="e">
        <f t="shared" si="12"/>
        <v>#VALUE!</v>
      </c>
      <c r="G25" s="23"/>
      <c r="H25" s="22" t="e">
        <f t="shared" si="13"/>
        <v>#VALUE!</v>
      </c>
      <c r="I25" s="22" t="e">
        <f t="shared" si="13"/>
        <v>#VALUE!</v>
      </c>
      <c r="J25" s="22" t="e">
        <f t="shared" si="13"/>
        <v>#VALUE!</v>
      </c>
      <c r="K25" s="22" t="e">
        <f t="shared" si="13"/>
        <v>#VALUE!</v>
      </c>
      <c r="L25" s="22" t="e">
        <f t="shared" si="13"/>
        <v>#VALUE!</v>
      </c>
      <c r="M25" s="23"/>
      <c r="N25" s="22" t="e">
        <f t="shared" si="14"/>
        <v>#VALUE!</v>
      </c>
      <c r="O25" s="22" t="e">
        <f t="shared" si="14"/>
        <v>#VALUE!</v>
      </c>
      <c r="P25" s="22" t="e">
        <f t="shared" si="14"/>
        <v>#VALUE!</v>
      </c>
      <c r="Q25" s="22" t="e">
        <f t="shared" si="14"/>
        <v>#VALUE!</v>
      </c>
      <c r="R25" s="22" t="e">
        <f t="shared" si="14"/>
        <v>#VALUE!</v>
      </c>
      <c r="T25" s="3" t="s">
        <v>16</v>
      </c>
      <c r="U25" s="3" t="s">
        <v>21</v>
      </c>
      <c r="V25" s="3" t="s">
        <v>21</v>
      </c>
      <c r="X25" s="22" t="e">
        <f t="shared" si="15"/>
        <v>#VALUE!</v>
      </c>
      <c r="Y25" s="22" t="e">
        <f t="shared" si="15"/>
        <v>#VALUE!</v>
      </c>
      <c r="Z25" s="22" t="e">
        <f t="shared" si="15"/>
        <v>#VALUE!</v>
      </c>
      <c r="AA25" s="22" t="e">
        <f t="shared" si="15"/>
        <v>#VALUE!</v>
      </c>
      <c r="AB25" s="22" t="e">
        <f t="shared" si="15"/>
        <v>#VALUE!</v>
      </c>
      <c r="AC25" s="23"/>
      <c r="AD25" s="22" t="e">
        <f t="shared" si="16"/>
        <v>#VALUE!</v>
      </c>
      <c r="AE25" s="22" t="e">
        <f t="shared" si="16"/>
        <v>#VALUE!</v>
      </c>
      <c r="AF25" s="22" t="e">
        <f t="shared" si="16"/>
        <v>#VALUE!</v>
      </c>
      <c r="AG25" s="22" t="e">
        <f t="shared" si="16"/>
        <v>#VALUE!</v>
      </c>
      <c r="AH25" s="22" t="e">
        <f t="shared" si="16"/>
        <v>#VALUE!</v>
      </c>
      <c r="AI25" s="23"/>
      <c r="AJ25" s="22" t="e">
        <f t="shared" si="17"/>
        <v>#VALUE!</v>
      </c>
      <c r="AK25" s="22" t="e">
        <f t="shared" si="17"/>
        <v>#VALUE!</v>
      </c>
      <c r="AL25" s="22" t="e">
        <f t="shared" si="17"/>
        <v>#VALUE!</v>
      </c>
      <c r="AM25" s="22" t="e">
        <f t="shared" si="17"/>
        <v>#VALUE!</v>
      </c>
      <c r="AN25" s="22" t="e">
        <f t="shared" si="17"/>
        <v>#VALUE!</v>
      </c>
    </row>
    <row r="26" spans="2:40" ht="11.25" customHeight="1" x14ac:dyDescent="0.25">
      <c r="B26" s="22" t="e">
        <f t="shared" si="12"/>
        <v>#VALUE!</v>
      </c>
      <c r="C26" s="22" t="e">
        <f t="shared" si="12"/>
        <v>#VALUE!</v>
      </c>
      <c r="D26" s="22" t="e">
        <f t="shared" si="12"/>
        <v>#VALUE!</v>
      </c>
      <c r="E26" s="22" t="e">
        <f t="shared" si="12"/>
        <v>#VALUE!</v>
      </c>
      <c r="F26" s="22" t="e">
        <f t="shared" si="12"/>
        <v>#VALUE!</v>
      </c>
      <c r="G26" s="23"/>
      <c r="H26" s="22" t="e">
        <f t="shared" si="13"/>
        <v>#VALUE!</v>
      </c>
      <c r="I26" s="22" t="e">
        <f t="shared" si="13"/>
        <v>#VALUE!</v>
      </c>
      <c r="J26" s="22" t="e">
        <f t="shared" si="13"/>
        <v>#VALUE!</v>
      </c>
      <c r="K26" s="22" t="e">
        <f t="shared" si="13"/>
        <v>#VALUE!</v>
      </c>
      <c r="L26" s="22" t="e">
        <f t="shared" si="13"/>
        <v>#VALUE!</v>
      </c>
      <c r="M26" s="23"/>
      <c r="N26" s="22" t="e">
        <f t="shared" si="14"/>
        <v>#VALUE!</v>
      </c>
      <c r="O26" s="22" t="e">
        <f t="shared" si="14"/>
        <v>#VALUE!</v>
      </c>
      <c r="P26" s="22" t="e">
        <f t="shared" si="14"/>
        <v>#VALUE!</v>
      </c>
      <c r="Q26" s="22" t="e">
        <f t="shared" si="14"/>
        <v>#VALUE!</v>
      </c>
      <c r="R26" s="22" t="e">
        <f t="shared" si="14"/>
        <v>#VALUE!</v>
      </c>
      <c r="T26" s="3" t="s">
        <v>16</v>
      </c>
      <c r="U26" s="3" t="s">
        <v>21</v>
      </c>
      <c r="V26" s="3" t="s">
        <v>21</v>
      </c>
      <c r="X26" s="22" t="e">
        <f t="shared" si="15"/>
        <v>#VALUE!</v>
      </c>
      <c r="Y26" s="22" t="e">
        <f t="shared" si="15"/>
        <v>#VALUE!</v>
      </c>
      <c r="Z26" s="22" t="e">
        <f t="shared" si="15"/>
        <v>#VALUE!</v>
      </c>
      <c r="AA26" s="22" t="e">
        <f t="shared" si="15"/>
        <v>#VALUE!</v>
      </c>
      <c r="AB26" s="22" t="e">
        <f t="shared" si="15"/>
        <v>#VALUE!</v>
      </c>
      <c r="AC26" s="23"/>
      <c r="AD26" s="22" t="e">
        <f t="shared" si="16"/>
        <v>#VALUE!</v>
      </c>
      <c r="AE26" s="22" t="e">
        <f t="shared" si="16"/>
        <v>#VALUE!</v>
      </c>
      <c r="AF26" s="22" t="e">
        <f t="shared" si="16"/>
        <v>#VALUE!</v>
      </c>
      <c r="AG26" s="22" t="e">
        <f t="shared" si="16"/>
        <v>#VALUE!</v>
      </c>
      <c r="AH26" s="22" t="e">
        <f t="shared" si="16"/>
        <v>#VALUE!</v>
      </c>
      <c r="AI26" s="23"/>
      <c r="AJ26" s="22" t="e">
        <f t="shared" si="17"/>
        <v>#VALUE!</v>
      </c>
      <c r="AK26" s="22" t="e">
        <f t="shared" si="17"/>
        <v>#VALUE!</v>
      </c>
      <c r="AL26" s="22" t="e">
        <f t="shared" si="17"/>
        <v>#VALUE!</v>
      </c>
      <c r="AM26" s="22" t="e">
        <f t="shared" si="17"/>
        <v>#VALUE!</v>
      </c>
      <c r="AN26" s="22" t="e">
        <f t="shared" si="17"/>
        <v>#VALUE!</v>
      </c>
    </row>
    <row r="27" spans="2:40" ht="11.25" customHeight="1" x14ac:dyDescent="0.25">
      <c r="B27" s="22" t="e">
        <f t="shared" si="12"/>
        <v>#VALUE!</v>
      </c>
      <c r="C27" s="22" t="e">
        <f t="shared" si="12"/>
        <v>#VALUE!</v>
      </c>
      <c r="D27" s="22" t="e">
        <f t="shared" si="12"/>
        <v>#VALUE!</v>
      </c>
      <c r="E27" s="22" t="e">
        <f t="shared" si="12"/>
        <v>#VALUE!</v>
      </c>
      <c r="F27" s="22" t="e">
        <f t="shared" si="12"/>
        <v>#VALUE!</v>
      </c>
      <c r="G27" s="23"/>
      <c r="H27" s="22" t="e">
        <f t="shared" si="13"/>
        <v>#VALUE!</v>
      </c>
      <c r="I27" s="22" t="e">
        <f t="shared" si="13"/>
        <v>#VALUE!</v>
      </c>
      <c r="J27" s="22" t="e">
        <f t="shared" si="13"/>
        <v>#VALUE!</v>
      </c>
      <c r="K27" s="22" t="e">
        <f t="shared" si="13"/>
        <v>#VALUE!</v>
      </c>
      <c r="L27" s="22" t="e">
        <f t="shared" si="13"/>
        <v>#VALUE!</v>
      </c>
      <c r="M27" s="23"/>
      <c r="N27" s="22" t="e">
        <f t="shared" si="14"/>
        <v>#VALUE!</v>
      </c>
      <c r="O27" s="22" t="e">
        <f t="shared" si="14"/>
        <v>#VALUE!</v>
      </c>
      <c r="P27" s="22" t="e">
        <f t="shared" si="14"/>
        <v>#VALUE!</v>
      </c>
      <c r="Q27" s="22" t="e">
        <f t="shared" si="14"/>
        <v>#VALUE!</v>
      </c>
      <c r="R27" s="22" t="e">
        <f t="shared" si="14"/>
        <v>#VALUE!</v>
      </c>
      <c r="T27" s="3" t="s">
        <v>16</v>
      </c>
      <c r="U27" s="3" t="s">
        <v>21</v>
      </c>
      <c r="V27" s="3" t="s">
        <v>21</v>
      </c>
      <c r="X27" s="22" t="e">
        <f t="shared" si="15"/>
        <v>#VALUE!</v>
      </c>
      <c r="Y27" s="22" t="e">
        <f t="shared" si="15"/>
        <v>#VALUE!</v>
      </c>
      <c r="Z27" s="22" t="e">
        <f t="shared" si="15"/>
        <v>#VALUE!</v>
      </c>
      <c r="AA27" s="22" t="e">
        <f t="shared" si="15"/>
        <v>#VALUE!</v>
      </c>
      <c r="AB27" s="22" t="e">
        <f t="shared" si="15"/>
        <v>#VALUE!</v>
      </c>
      <c r="AC27" s="23"/>
      <c r="AD27" s="22" t="e">
        <f t="shared" si="16"/>
        <v>#VALUE!</v>
      </c>
      <c r="AE27" s="22" t="e">
        <f t="shared" si="16"/>
        <v>#VALUE!</v>
      </c>
      <c r="AF27" s="22" t="e">
        <f t="shared" si="16"/>
        <v>#VALUE!</v>
      </c>
      <c r="AG27" s="22" t="e">
        <f t="shared" si="16"/>
        <v>#VALUE!</v>
      </c>
      <c r="AH27" s="22" t="e">
        <f t="shared" si="16"/>
        <v>#VALUE!</v>
      </c>
      <c r="AI27" s="23"/>
      <c r="AJ27" s="22" t="e">
        <f t="shared" si="17"/>
        <v>#VALUE!</v>
      </c>
      <c r="AK27" s="22" t="e">
        <f t="shared" si="17"/>
        <v>#VALUE!</v>
      </c>
      <c r="AL27" s="22" t="e">
        <f t="shared" si="17"/>
        <v>#VALUE!</v>
      </c>
      <c r="AM27" s="22" t="e">
        <f t="shared" si="17"/>
        <v>#VALUE!</v>
      </c>
      <c r="AN27" s="22" t="e">
        <f t="shared" si="17"/>
        <v>#VALUE!</v>
      </c>
    </row>
    <row r="28" spans="2:40" ht="11.25" customHeight="1" x14ac:dyDescent="0.25">
      <c r="B28" s="22" t="str">
        <f t="shared" si="12"/>
        <v>0</v>
      </c>
      <c r="C28" s="22" t="str">
        <f t="shared" si="12"/>
        <v>0</v>
      </c>
      <c r="D28" s="22" t="str">
        <f t="shared" si="12"/>
        <v>0</v>
      </c>
      <c r="E28" s="22" t="str">
        <f t="shared" si="12"/>
        <v>0</v>
      </c>
      <c r="F28" s="22" t="str">
        <f t="shared" si="12"/>
        <v>0</v>
      </c>
      <c r="G28" s="23"/>
      <c r="H28" s="22" t="str">
        <f t="shared" si="13"/>
        <v>0</v>
      </c>
      <c r="I28" s="22" t="str">
        <f t="shared" si="13"/>
        <v>0</v>
      </c>
      <c r="J28" s="22" t="str">
        <f t="shared" si="13"/>
        <v>0</v>
      </c>
      <c r="K28" s="22" t="str">
        <f t="shared" si="13"/>
        <v>0</v>
      </c>
      <c r="L28" s="22" t="str">
        <f t="shared" si="13"/>
        <v>0</v>
      </c>
      <c r="M28" s="23"/>
      <c r="N28" s="22" t="str">
        <f t="shared" si="14"/>
        <v>0</v>
      </c>
      <c r="O28" s="22" t="str">
        <f t="shared" si="14"/>
        <v>0</v>
      </c>
      <c r="P28" s="22" t="str">
        <f t="shared" si="14"/>
        <v>0</v>
      </c>
      <c r="Q28" s="22" t="str">
        <f t="shared" si="14"/>
        <v>0</v>
      </c>
      <c r="R28" s="22" t="str">
        <f t="shared" si="14"/>
        <v>0</v>
      </c>
      <c r="T28" s="3" t="s">
        <v>23</v>
      </c>
      <c r="U28" s="3" t="s">
        <v>22</v>
      </c>
      <c r="V28" s="3" t="s">
        <v>22</v>
      </c>
      <c r="X28" s="22" t="str">
        <f t="shared" si="15"/>
        <v>1</v>
      </c>
      <c r="Y28" s="22" t="str">
        <f t="shared" si="15"/>
        <v>1</v>
      </c>
      <c r="Z28" s="22" t="str">
        <f t="shared" si="15"/>
        <v>1</v>
      </c>
      <c r="AA28" s="22" t="str">
        <f t="shared" si="15"/>
        <v>1</v>
      </c>
      <c r="AB28" s="22" t="str">
        <f t="shared" si="15"/>
        <v>1</v>
      </c>
      <c r="AC28" s="23"/>
      <c r="AD28" s="22" t="str">
        <f t="shared" si="16"/>
        <v>0</v>
      </c>
      <c r="AE28" s="22" t="str">
        <f t="shared" si="16"/>
        <v>0</v>
      </c>
      <c r="AF28" s="22" t="str">
        <f t="shared" si="16"/>
        <v>0</v>
      </c>
      <c r="AG28" s="22" t="str">
        <f t="shared" si="16"/>
        <v>0</v>
      </c>
      <c r="AH28" s="22" t="str">
        <f t="shared" si="16"/>
        <v>0</v>
      </c>
      <c r="AI28" s="23"/>
      <c r="AJ28" s="22" t="str">
        <f t="shared" si="17"/>
        <v>0</v>
      </c>
      <c r="AK28" s="22" t="str">
        <f t="shared" si="17"/>
        <v>0</v>
      </c>
      <c r="AL28" s="22" t="str">
        <f t="shared" si="17"/>
        <v>0</v>
      </c>
      <c r="AM28" s="22" t="str">
        <f t="shared" si="17"/>
        <v>0</v>
      </c>
      <c r="AN28" s="22" t="str">
        <f t="shared" si="17"/>
        <v>0</v>
      </c>
    </row>
    <row r="30" spans="2:40" x14ac:dyDescent="0.25">
      <c r="C30" s="1" t="str">
        <f>"{{"&amp;CHAR(34)&amp;AP3&amp;CHAR(34)&amp;","&amp;CHAR(34)&amp;AQ3&amp;CHAR(34)&amp;","&amp;CHAR(34)&amp;AR3&amp;CHAR(34)&amp;"},{"&amp;CHAR(34)&amp;AP4&amp;CHAR(34)&amp;","&amp;CHAR(34)&amp;AQ4&amp;CHAR(34)&amp;","&amp;CHAR(34)&amp;AR4&amp;CHAR(34)&amp;"},{"&amp;CHAR(34)&amp;AP5&amp;CHAR(34)&amp;","&amp;CHAR(34)&amp;AQ5&amp;CHAR(34)&amp;","&amp;CHAR(34)&amp;AR5&amp;CHAR(34)&amp;"}}"&amp;";"</f>
        <v>{{"1","b","w"},{"w","b","w"},{"3","3","3"}};</v>
      </c>
    </row>
    <row r="31" spans="2:40" x14ac:dyDescent="0.25">
      <c r="C31" s="1" t="str">
        <f>"{{"&amp;AP3&amp;","&amp;AQ3&amp;","&amp;AR3&amp;"},{"&amp;AP4&amp;","&amp;AQ4&amp;","&amp;AR4&amp;"},{"&amp;AP5&amp;","&amp;AQ5&amp;","&amp;AR5&amp;"}}"&amp;";"</f>
        <v>{{1,b,w},{w,b,w},{3,3,3}};</v>
      </c>
    </row>
    <row r="32" spans="2:40" x14ac:dyDescent="0.25">
      <c r="W32" s="7"/>
      <c r="X32" s="7"/>
      <c r="Y32" s="7"/>
    </row>
    <row r="33" spans="1:25" x14ac:dyDescent="0.25">
      <c r="W33" s="7"/>
      <c r="X33" s="7"/>
      <c r="Y33" s="7"/>
    </row>
    <row r="35" spans="1:25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</row>
    <row r="36" spans="1:25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</row>
    <row r="37" spans="1:25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</row>
  </sheetData>
  <mergeCells count="15">
    <mergeCell ref="X20:AB20"/>
    <mergeCell ref="AD20:AH20"/>
    <mergeCell ref="AJ20:AN20"/>
    <mergeCell ref="AP7:AV9"/>
    <mergeCell ref="B1:R1"/>
    <mergeCell ref="T1:V1"/>
    <mergeCell ref="X1:AN1"/>
    <mergeCell ref="AP2:AR2"/>
    <mergeCell ref="AP14:AV15"/>
    <mergeCell ref="X11:AB11"/>
    <mergeCell ref="AD11:AH11"/>
    <mergeCell ref="AJ11:AN11"/>
    <mergeCell ref="X2:AB2"/>
    <mergeCell ref="AD2:AH2"/>
    <mergeCell ref="AJ2:AN2"/>
  </mergeCells>
  <conditionalFormatting sqref="X3:AB10 AD3:AH10 AJ3:AN10 X12:AB19 AD12:AH19 AJ12:AN19 X21:AB28 AD21:AH28 AJ21:AN28 B3:F10 H3:L10 N3:R10 B12:F19 H12:L19 N12:R19 B21:F28 H21:L28 N21:R28">
    <cfRule type="containsText" dxfId="17" priority="1" operator="containsText" text="1">
      <formula>NOT(ISERROR(SEARCH("1",B3)))</formula>
    </cfRule>
    <cfRule type="containsText" dxfId="16" priority="2" operator="containsText" text="0">
      <formula>NOT(ISERROR(SEARCH("0",B3)))</formula>
    </cfRule>
  </conditionalFormatting>
  <pageMargins left="0.7" right="0.7" top="0.75" bottom="0.75" header="0.3" footer="0.3"/>
  <pageSetup paperSize="9" orientation="portrait" r:id="rId1"/>
  <ignoredErrors>
    <ignoredError sqref="T3:V28 T2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/>
  <dimension ref="A1:BB38"/>
  <sheetViews>
    <sheetView workbookViewId="0">
      <selection activeCell="AN28" sqref="X3:AN28"/>
    </sheetView>
  </sheetViews>
  <sheetFormatPr defaultRowHeight="15" x14ac:dyDescent="0.25"/>
  <cols>
    <col min="1" max="1" width="2.28515625" customWidth="1"/>
    <col min="2" max="19" width="2.140625" customWidth="1"/>
    <col min="20" max="20" width="10.28515625" style="3" customWidth="1"/>
    <col min="21" max="21" width="9.85546875" customWidth="1"/>
    <col min="23" max="40" width="2.140625" customWidth="1"/>
    <col min="41" max="41" width="3.5703125" customWidth="1"/>
    <col min="42" max="44" width="9.28515625" customWidth="1"/>
    <col min="45" max="45" width="7.28515625" customWidth="1"/>
    <col min="46" max="48" width="3.28515625" customWidth="1"/>
  </cols>
  <sheetData>
    <row r="1" spans="2:54" x14ac:dyDescent="0.25">
      <c r="B1" s="32" t="s">
        <v>26</v>
      </c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1"/>
      <c r="T1" s="33" t="s">
        <v>27</v>
      </c>
      <c r="U1" s="33"/>
      <c r="V1" s="33"/>
      <c r="W1" s="1"/>
      <c r="X1" s="32" t="s">
        <v>28</v>
      </c>
      <c r="Y1" s="32"/>
      <c r="Z1" s="32"/>
      <c r="AA1" s="32"/>
      <c r="AB1" s="32"/>
      <c r="AC1" s="32"/>
      <c r="AD1" s="32"/>
      <c r="AE1" s="32"/>
      <c r="AF1" s="32"/>
      <c r="AG1" s="32"/>
      <c r="AH1" s="32"/>
      <c r="AI1" s="32"/>
      <c r="AJ1" s="32"/>
      <c r="AK1" s="32"/>
      <c r="AL1" s="32"/>
      <c r="AM1" s="32"/>
      <c r="AN1" s="32"/>
      <c r="AP1" s="32" t="s">
        <v>31</v>
      </c>
      <c r="AQ1" s="32"/>
      <c r="AR1" s="32"/>
    </row>
    <row r="2" spans="2:54" ht="11.25" customHeight="1" thickBot="1" x14ac:dyDescent="0.3">
      <c r="T2" s="27" t="s">
        <v>11</v>
      </c>
      <c r="U2" s="19">
        <v>2</v>
      </c>
      <c r="V2" s="19">
        <v>3</v>
      </c>
      <c r="W2" s="1"/>
      <c r="X2" s="35">
        <v>1</v>
      </c>
      <c r="Y2" s="35"/>
      <c r="Z2" s="35"/>
      <c r="AA2" s="35"/>
      <c r="AB2" s="35"/>
      <c r="AC2" s="1"/>
      <c r="AD2" s="35">
        <v>2</v>
      </c>
      <c r="AE2" s="35"/>
      <c r="AF2" s="35"/>
      <c r="AG2" s="35"/>
      <c r="AH2" s="35"/>
      <c r="AI2" s="1"/>
      <c r="AJ2" s="35">
        <v>3</v>
      </c>
      <c r="AK2" s="35"/>
      <c r="AL2" s="35"/>
      <c r="AM2" s="35"/>
      <c r="AN2" s="35"/>
      <c r="AO2" s="1"/>
      <c r="AP2" s="28">
        <v>1</v>
      </c>
      <c r="AQ2" s="28">
        <v>2</v>
      </c>
      <c r="AR2" s="28">
        <v>3</v>
      </c>
      <c r="AT2" s="34" t="s">
        <v>29</v>
      </c>
      <c r="AU2" s="34"/>
      <c r="AV2" s="34"/>
    </row>
    <row r="3" spans="2:54" ht="11.25" customHeight="1" thickTop="1" x14ac:dyDescent="0.25">
      <c r="B3" s="18">
        <f t="shared" ref="B3:F10" si="0">IF($AT$3=1,X3,IF($AT$3=2,AD3,IF($AT$3=3,AJ3,IF($AT$3=4,X12,IF($AT$3=5,AD12,IF($AT$3=6,AJ12,IF($AT$3=7,X21,IF($AT$3=8,AD21,IF($AT$3="b",1,IF($AT$3="w",0,IF($AT$3=9,AJ21,"")))))))))))</f>
        <v>0</v>
      </c>
      <c r="C3" s="18">
        <f t="shared" si="0"/>
        <v>0</v>
      </c>
      <c r="D3" s="18">
        <f t="shared" si="0"/>
        <v>0</v>
      </c>
      <c r="E3" s="18">
        <v>0</v>
      </c>
      <c r="F3" s="18">
        <v>0</v>
      </c>
      <c r="G3" s="19"/>
      <c r="H3" s="18">
        <v>0</v>
      </c>
      <c r="I3" s="18">
        <v>0</v>
      </c>
      <c r="J3" s="18">
        <v>0</v>
      </c>
      <c r="K3" s="18">
        <v>0</v>
      </c>
      <c r="L3" s="18">
        <v>0</v>
      </c>
      <c r="M3" s="19"/>
      <c r="N3" s="18">
        <v>0</v>
      </c>
      <c r="O3" s="18">
        <v>0</v>
      </c>
      <c r="P3" s="18">
        <f t="shared" ref="N3:R10" si="1">IF($AV$3=1,Z3,IF($AV$3=2,AF3,IF($AV$3=3,AL3,IF($AV$3=4,Z12,IF($AV$3=5,AF12,IF($AV$3=6,AL12,IF($AV$3=7,Z21,IF($AV$3=8,AF21,IF($AV$3="b",1,IF($AV$3="w",0,IF($AV$3=9,AL21,"")))))))))))</f>
        <v>1</v>
      </c>
      <c r="Q3" s="18">
        <f t="shared" si="1"/>
        <v>1</v>
      </c>
      <c r="R3" s="18">
        <f t="shared" si="1"/>
        <v>1</v>
      </c>
      <c r="T3" t="str">
        <f t="shared" ref="T3:T9" si="2">CONCATENATE("B",X3,Y3,Z3,AA3,AB3,",")</f>
        <v>B00000,</v>
      </c>
      <c r="U3" t="str">
        <f t="shared" ref="U3:U9" si="3">CONCATENATE("B",AD3,AE3,AF3,AG3,AH3,",")</f>
        <v>B00000,</v>
      </c>
      <c r="V3" t="str">
        <f t="shared" ref="V3:V9" si="4">CONCATENATE("B",AJ3,AK3,AL3,AM3,AN3,",")</f>
        <v>B00000,</v>
      </c>
      <c r="X3" s="21">
        <v>0</v>
      </c>
      <c r="Y3" s="21">
        <v>0</v>
      </c>
      <c r="Z3" s="21">
        <v>0</v>
      </c>
      <c r="AA3" s="21">
        <v>0</v>
      </c>
      <c r="AB3" s="21">
        <v>0</v>
      </c>
      <c r="AC3" s="19"/>
      <c r="AD3" s="20">
        <v>0</v>
      </c>
      <c r="AE3" s="20">
        <v>0</v>
      </c>
      <c r="AF3" s="20">
        <v>0</v>
      </c>
      <c r="AG3" s="20">
        <v>0</v>
      </c>
      <c r="AH3" s="20">
        <v>0</v>
      </c>
      <c r="AI3" s="19"/>
      <c r="AJ3" s="20">
        <v>0</v>
      </c>
      <c r="AK3" s="20">
        <v>0</v>
      </c>
      <c r="AL3" s="20">
        <v>0</v>
      </c>
      <c r="AM3" s="20">
        <v>0</v>
      </c>
      <c r="AN3" s="20">
        <v>0</v>
      </c>
      <c r="AP3" s="7" t="str">
        <f t="shared" ref="AP3:AP9" si="5">CONCATENATE(IF(AB3+AA3*2+Z3*4+Y3*8+X3*16=0,32,AB3+AA3*2+Z3*4+Y3*8+X3*16),",")</f>
        <v>32,</v>
      </c>
      <c r="AQ3" s="7" t="str">
        <f t="shared" ref="AQ3:AQ9" si="6">CONCATENATE(IF(AH3+AG3*2+AF3*4+AE3*8+AD3*16=0,32,AH3+AG3*2+AF3*4+AE3*8+AD3*16),",")</f>
        <v>32,</v>
      </c>
      <c r="AR3" s="7" t="str">
        <f t="shared" ref="AR3:AR9" si="7">CONCATENATE(IF(AN3+AM3*2+AL3*4+AK3*8+AJ3*16=0,32,AN3+AM3*2+AL3*4+AK3*8+AJ3*16),",")</f>
        <v>32,</v>
      </c>
      <c r="AT3" s="10">
        <v>1</v>
      </c>
      <c r="AU3" s="11">
        <v>3</v>
      </c>
      <c r="AV3" s="12">
        <v>7</v>
      </c>
    </row>
    <row r="4" spans="2:54" ht="11.25" customHeight="1" x14ac:dyDescent="0.25">
      <c r="B4" s="18">
        <f t="shared" si="0"/>
        <v>0</v>
      </c>
      <c r="C4" s="18">
        <f t="shared" si="0"/>
        <v>0</v>
      </c>
      <c r="D4" s="18">
        <v>0</v>
      </c>
      <c r="E4" s="18">
        <v>0</v>
      </c>
      <c r="F4" s="18">
        <v>0</v>
      </c>
      <c r="G4" s="19"/>
      <c r="H4" s="18">
        <v>0</v>
      </c>
      <c r="I4" s="18">
        <v>0</v>
      </c>
      <c r="J4" s="18">
        <v>0</v>
      </c>
      <c r="K4" s="18">
        <v>0</v>
      </c>
      <c r="L4" s="18">
        <v>0</v>
      </c>
      <c r="M4" s="19"/>
      <c r="N4" s="18">
        <v>0</v>
      </c>
      <c r="O4" s="18">
        <v>0</v>
      </c>
      <c r="P4" s="18">
        <v>0</v>
      </c>
      <c r="Q4" s="18">
        <f t="shared" si="1"/>
        <v>1</v>
      </c>
      <c r="R4" s="18">
        <f t="shared" si="1"/>
        <v>1</v>
      </c>
      <c r="T4" t="str">
        <f t="shared" si="2"/>
        <v>B00000,</v>
      </c>
      <c r="U4" t="str">
        <f t="shared" si="3"/>
        <v>B00000,</v>
      </c>
      <c r="V4" t="str">
        <f t="shared" si="4"/>
        <v>B00000,</v>
      </c>
      <c r="X4" s="21">
        <v>0</v>
      </c>
      <c r="Y4" s="21">
        <v>0</v>
      </c>
      <c r="Z4" s="21">
        <v>0</v>
      </c>
      <c r="AA4" s="21">
        <v>0</v>
      </c>
      <c r="AB4" s="21">
        <v>0</v>
      </c>
      <c r="AC4" s="19"/>
      <c r="AD4" s="20">
        <v>0</v>
      </c>
      <c r="AE4" s="20">
        <v>0</v>
      </c>
      <c r="AF4" s="20">
        <v>0</v>
      </c>
      <c r="AG4" s="20">
        <v>0</v>
      </c>
      <c r="AH4" s="20">
        <v>0</v>
      </c>
      <c r="AI4" s="19"/>
      <c r="AJ4" s="20">
        <v>0</v>
      </c>
      <c r="AK4" s="20">
        <v>0</v>
      </c>
      <c r="AL4" s="20">
        <v>0</v>
      </c>
      <c r="AM4" s="20">
        <v>0</v>
      </c>
      <c r="AN4" s="20">
        <v>0</v>
      </c>
      <c r="AP4" t="str">
        <f t="shared" si="5"/>
        <v>32,</v>
      </c>
      <c r="AQ4" t="str">
        <f t="shared" si="6"/>
        <v>32,</v>
      </c>
      <c r="AR4" t="str">
        <f t="shared" si="7"/>
        <v>32,</v>
      </c>
      <c r="AT4" s="13" t="s">
        <v>8</v>
      </c>
      <c r="AU4" s="9">
        <v>3</v>
      </c>
      <c r="AV4" s="14" t="s">
        <v>7</v>
      </c>
    </row>
    <row r="5" spans="2:54" ht="11.25" customHeight="1" thickBot="1" x14ac:dyDescent="0.3">
      <c r="B5" s="18">
        <v>0</v>
      </c>
      <c r="C5" s="18">
        <v>0</v>
      </c>
      <c r="D5" s="18">
        <v>0</v>
      </c>
      <c r="E5" s="18">
        <v>0</v>
      </c>
      <c r="F5" s="18">
        <v>0</v>
      </c>
      <c r="G5" s="19"/>
      <c r="H5" s="18">
        <v>0</v>
      </c>
      <c r="I5" s="18">
        <v>0</v>
      </c>
      <c r="J5" s="18">
        <v>0</v>
      </c>
      <c r="K5" s="18">
        <v>0</v>
      </c>
      <c r="L5" s="18">
        <v>0</v>
      </c>
      <c r="M5" s="19"/>
      <c r="N5" s="18">
        <v>0</v>
      </c>
      <c r="O5" s="18">
        <v>0</v>
      </c>
      <c r="P5" s="18">
        <v>0</v>
      </c>
      <c r="Q5" s="18">
        <v>0</v>
      </c>
      <c r="R5" s="18">
        <f t="shared" si="1"/>
        <v>1</v>
      </c>
      <c r="T5" t="str">
        <f t="shared" si="2"/>
        <v>B00000,</v>
      </c>
      <c r="U5" t="str">
        <f t="shared" si="3"/>
        <v>B00000,</v>
      </c>
      <c r="V5" t="str">
        <f t="shared" si="4"/>
        <v>B00000,</v>
      </c>
      <c r="X5" s="21">
        <v>0</v>
      </c>
      <c r="Y5" s="21">
        <v>0</v>
      </c>
      <c r="Z5" s="21">
        <v>0</v>
      </c>
      <c r="AA5" s="21">
        <v>0</v>
      </c>
      <c r="AB5" s="21">
        <v>0</v>
      </c>
      <c r="AC5" s="19"/>
      <c r="AD5" s="20">
        <v>0</v>
      </c>
      <c r="AE5" s="20">
        <v>0</v>
      </c>
      <c r="AF5" s="20">
        <v>0</v>
      </c>
      <c r="AG5" s="20">
        <v>0</v>
      </c>
      <c r="AH5" s="20">
        <v>0</v>
      </c>
      <c r="AI5" s="19"/>
      <c r="AJ5" s="20">
        <v>0</v>
      </c>
      <c r="AK5" s="20">
        <v>0</v>
      </c>
      <c r="AL5" s="20">
        <v>0</v>
      </c>
      <c r="AM5" s="20">
        <v>0</v>
      </c>
      <c r="AN5" s="20">
        <v>0</v>
      </c>
      <c r="AP5" t="str">
        <f t="shared" si="5"/>
        <v>32,</v>
      </c>
      <c r="AQ5" t="str">
        <f t="shared" si="6"/>
        <v>32,</v>
      </c>
      <c r="AR5" t="str">
        <f t="shared" si="7"/>
        <v>32,</v>
      </c>
      <c r="AT5" s="15">
        <v>5</v>
      </c>
      <c r="AU5" s="16">
        <v>3</v>
      </c>
      <c r="AV5" s="17">
        <v>4</v>
      </c>
    </row>
    <row r="6" spans="2:54" ht="11.25" customHeight="1" thickTop="1" x14ac:dyDescent="0.25">
      <c r="B6" s="18">
        <v>0</v>
      </c>
      <c r="C6" s="18">
        <v>0</v>
      </c>
      <c r="D6" s="18">
        <v>0</v>
      </c>
      <c r="E6" s="18">
        <v>0</v>
      </c>
      <c r="F6" s="18">
        <v>0</v>
      </c>
      <c r="G6" s="19"/>
      <c r="H6" s="18">
        <v>0</v>
      </c>
      <c r="I6" s="18">
        <v>0</v>
      </c>
      <c r="J6" s="18">
        <v>0</v>
      </c>
      <c r="K6" s="18">
        <v>0</v>
      </c>
      <c r="L6" s="18">
        <v>0</v>
      </c>
      <c r="M6" s="19"/>
      <c r="N6" s="18">
        <v>0</v>
      </c>
      <c r="O6" s="18">
        <v>0</v>
      </c>
      <c r="P6" s="18">
        <v>0</v>
      </c>
      <c r="Q6" s="18">
        <v>0</v>
      </c>
      <c r="R6" s="18">
        <v>0</v>
      </c>
      <c r="T6" t="str">
        <f t="shared" si="2"/>
        <v>B00000,</v>
      </c>
      <c r="U6" t="str">
        <f t="shared" si="3"/>
        <v>B11111,</v>
      </c>
      <c r="V6" t="str">
        <f t="shared" si="4"/>
        <v>B00000,</v>
      </c>
      <c r="X6" s="21">
        <v>0</v>
      </c>
      <c r="Y6" s="21">
        <v>0</v>
      </c>
      <c r="Z6" s="21">
        <v>0</v>
      </c>
      <c r="AA6" s="21">
        <v>0</v>
      </c>
      <c r="AB6" s="21">
        <v>0</v>
      </c>
      <c r="AC6" s="19"/>
      <c r="AD6" s="20">
        <v>1</v>
      </c>
      <c r="AE6" s="20">
        <v>1</v>
      </c>
      <c r="AF6" s="20">
        <v>1</v>
      </c>
      <c r="AG6" s="20">
        <v>1</v>
      </c>
      <c r="AH6" s="20">
        <v>1</v>
      </c>
      <c r="AI6" s="19"/>
      <c r="AJ6" s="20">
        <v>0</v>
      </c>
      <c r="AK6" s="20">
        <v>0</v>
      </c>
      <c r="AL6" s="20">
        <v>0</v>
      </c>
      <c r="AM6" s="20">
        <v>0</v>
      </c>
      <c r="AN6" s="20">
        <v>0</v>
      </c>
      <c r="AP6" t="str">
        <f t="shared" si="5"/>
        <v>32,</v>
      </c>
      <c r="AQ6" t="str">
        <f t="shared" si="6"/>
        <v>31,</v>
      </c>
      <c r="AR6" t="str">
        <f t="shared" si="7"/>
        <v>32,</v>
      </c>
      <c r="BA6" s="26"/>
      <c r="BB6" s="26"/>
    </row>
    <row r="7" spans="2:54" ht="11.25" customHeight="1" x14ac:dyDescent="0.25">
      <c r="B7" s="18">
        <v>0</v>
      </c>
      <c r="C7" s="18">
        <v>1</v>
      </c>
      <c r="D7" s="18">
        <v>1</v>
      </c>
      <c r="E7" s="18">
        <v>1</v>
      </c>
      <c r="F7" s="18">
        <v>0</v>
      </c>
      <c r="G7" s="19"/>
      <c r="H7" s="18">
        <f t="shared" ref="H3:L10" si="8">IF($AU$3=1,X7,IF($AU$3=2,AD7,IF($AU$3=3,AJ7,IF($AU$3=4,X16,IF($AU$3=5,AD16,IF($AU$3=6,AJ16,IF($AU$3=7,X25,IF($AU$3=8,AD25,IF($AU$3="b",1,IF($AU$3="w",0,IF($AU$3=9,AJ25,"")))))))))))</f>
        <v>1</v>
      </c>
      <c r="I7" s="18">
        <f t="shared" si="8"/>
        <v>0</v>
      </c>
      <c r="J7" s="18">
        <f t="shared" si="8"/>
        <v>0</v>
      </c>
      <c r="K7" s="18">
        <f t="shared" si="8"/>
        <v>0</v>
      </c>
      <c r="L7" s="18">
        <f t="shared" si="8"/>
        <v>0</v>
      </c>
      <c r="M7" s="19"/>
      <c r="N7" s="18">
        <v>0</v>
      </c>
      <c r="O7" s="18">
        <v>1</v>
      </c>
      <c r="P7" s="18">
        <v>1</v>
      </c>
      <c r="Q7" s="18">
        <v>1</v>
      </c>
      <c r="R7" s="18">
        <v>0</v>
      </c>
      <c r="T7" t="str">
        <f t="shared" si="2"/>
        <v>B00001,</v>
      </c>
      <c r="U7" t="str">
        <f t="shared" si="3"/>
        <v>B11111,</v>
      </c>
      <c r="V7" t="str">
        <f t="shared" si="4"/>
        <v>B10000,</v>
      </c>
      <c r="X7" s="21">
        <v>0</v>
      </c>
      <c r="Y7" s="21">
        <v>0</v>
      </c>
      <c r="Z7" s="21">
        <v>0</v>
      </c>
      <c r="AA7" s="21">
        <v>0</v>
      </c>
      <c r="AB7" s="21">
        <v>1</v>
      </c>
      <c r="AC7" s="19"/>
      <c r="AD7" s="20">
        <v>1</v>
      </c>
      <c r="AE7" s="20">
        <v>1</v>
      </c>
      <c r="AF7" s="20">
        <v>1</v>
      </c>
      <c r="AG7" s="20">
        <v>1</v>
      </c>
      <c r="AH7" s="20">
        <v>1</v>
      </c>
      <c r="AI7" s="19"/>
      <c r="AJ7" s="20">
        <v>1</v>
      </c>
      <c r="AK7" s="20">
        <v>0</v>
      </c>
      <c r="AL7" s="20">
        <v>0</v>
      </c>
      <c r="AM7" s="20">
        <v>0</v>
      </c>
      <c r="AN7" s="20">
        <v>0</v>
      </c>
      <c r="AP7" t="str">
        <f t="shared" si="5"/>
        <v>1,</v>
      </c>
      <c r="AQ7" t="str">
        <f t="shared" si="6"/>
        <v>31,</v>
      </c>
      <c r="AR7" t="str">
        <f t="shared" si="7"/>
        <v>16,</v>
      </c>
      <c r="AT7" s="31" t="s">
        <v>33</v>
      </c>
      <c r="AU7" s="31"/>
      <c r="AV7" s="31"/>
      <c r="AW7" s="31"/>
      <c r="AX7" s="31"/>
      <c r="AY7" s="31"/>
      <c r="AZ7" s="26"/>
      <c r="BA7" s="26"/>
      <c r="BB7" s="26"/>
    </row>
    <row r="8" spans="2:54" ht="11.25" customHeight="1" x14ac:dyDescent="0.25">
      <c r="B8" s="18">
        <v>1</v>
      </c>
      <c r="C8" s="18">
        <v>1</v>
      </c>
      <c r="D8" s="18">
        <v>1</v>
      </c>
      <c r="E8" s="18">
        <v>1</v>
      </c>
      <c r="F8" s="18">
        <v>1</v>
      </c>
      <c r="G8" s="19"/>
      <c r="H8" s="18">
        <f t="shared" si="8"/>
        <v>1</v>
      </c>
      <c r="I8" s="18">
        <f t="shared" si="8"/>
        <v>1</v>
      </c>
      <c r="J8" s="18">
        <f t="shared" si="8"/>
        <v>1</v>
      </c>
      <c r="K8" s="18">
        <f t="shared" si="8"/>
        <v>0</v>
      </c>
      <c r="L8" s="18">
        <f t="shared" si="8"/>
        <v>0</v>
      </c>
      <c r="M8" s="19"/>
      <c r="N8" s="18">
        <v>1</v>
      </c>
      <c r="O8" s="18">
        <v>1</v>
      </c>
      <c r="P8" s="18">
        <v>1</v>
      </c>
      <c r="Q8" s="18">
        <v>1</v>
      </c>
      <c r="R8" s="18">
        <v>1</v>
      </c>
      <c r="T8" t="str">
        <f t="shared" si="2"/>
        <v>B00111,</v>
      </c>
      <c r="U8" t="str">
        <f t="shared" si="3"/>
        <v>B11111,</v>
      </c>
      <c r="V8" t="str">
        <f t="shared" si="4"/>
        <v>B11100,</v>
      </c>
      <c r="X8" s="21">
        <v>0</v>
      </c>
      <c r="Y8" s="21">
        <v>0</v>
      </c>
      <c r="Z8" s="21">
        <v>1</v>
      </c>
      <c r="AA8" s="21">
        <v>1</v>
      </c>
      <c r="AB8" s="21">
        <v>1</v>
      </c>
      <c r="AC8" s="19"/>
      <c r="AD8" s="20">
        <v>1</v>
      </c>
      <c r="AE8" s="20">
        <v>1</v>
      </c>
      <c r="AF8" s="20">
        <v>1</v>
      </c>
      <c r="AG8" s="20">
        <v>1</v>
      </c>
      <c r="AH8" s="20">
        <v>1</v>
      </c>
      <c r="AI8" s="19"/>
      <c r="AJ8" s="20">
        <v>1</v>
      </c>
      <c r="AK8" s="20">
        <v>1</v>
      </c>
      <c r="AL8" s="20">
        <v>1</v>
      </c>
      <c r="AM8" s="20">
        <v>0</v>
      </c>
      <c r="AN8" s="20">
        <v>0</v>
      </c>
      <c r="AP8" t="str">
        <f t="shared" si="5"/>
        <v>7,</v>
      </c>
      <c r="AQ8" t="str">
        <f t="shared" si="6"/>
        <v>31,</v>
      </c>
      <c r="AR8" t="str">
        <f t="shared" si="7"/>
        <v>28,</v>
      </c>
      <c r="AT8" s="31"/>
      <c r="AU8" s="31"/>
      <c r="AV8" s="31"/>
      <c r="AW8" s="31"/>
      <c r="AX8" s="31"/>
      <c r="AY8" s="31"/>
      <c r="AZ8" s="26"/>
      <c r="BA8" s="26"/>
      <c r="BB8" s="26"/>
    </row>
    <row r="9" spans="2:54" ht="11.25" customHeight="1" x14ac:dyDescent="0.25">
      <c r="B9" s="18">
        <v>1</v>
      </c>
      <c r="C9" s="18">
        <v>1</v>
      </c>
      <c r="D9" s="18">
        <v>1</v>
      </c>
      <c r="E9" s="18">
        <v>1</v>
      </c>
      <c r="F9" s="18">
        <v>1</v>
      </c>
      <c r="G9" s="19"/>
      <c r="H9" s="18">
        <f t="shared" si="8"/>
        <v>1</v>
      </c>
      <c r="I9" s="18">
        <f t="shared" si="8"/>
        <v>1</v>
      </c>
      <c r="J9" s="18">
        <f t="shared" si="8"/>
        <v>1</v>
      </c>
      <c r="K9" s="18">
        <f t="shared" si="8"/>
        <v>1</v>
      </c>
      <c r="L9" s="18">
        <f t="shared" si="8"/>
        <v>0</v>
      </c>
      <c r="M9" s="19"/>
      <c r="N9" s="18">
        <v>1</v>
      </c>
      <c r="O9" s="18">
        <v>1</v>
      </c>
      <c r="P9" s="18">
        <v>1</v>
      </c>
      <c r="Q9" s="18">
        <v>1</v>
      </c>
      <c r="R9" s="18">
        <v>1</v>
      </c>
      <c r="T9" t="str">
        <f t="shared" si="2"/>
        <v>B01111,</v>
      </c>
      <c r="U9" t="str">
        <f t="shared" si="3"/>
        <v>B11111,</v>
      </c>
      <c r="V9" t="str">
        <f t="shared" si="4"/>
        <v>B11110,</v>
      </c>
      <c r="X9" s="21">
        <v>0</v>
      </c>
      <c r="Y9" s="21">
        <v>1</v>
      </c>
      <c r="Z9" s="21">
        <v>1</v>
      </c>
      <c r="AA9" s="21">
        <v>1</v>
      </c>
      <c r="AB9" s="21">
        <v>1</v>
      </c>
      <c r="AC9" s="19"/>
      <c r="AD9" s="20">
        <v>1</v>
      </c>
      <c r="AE9" s="20">
        <v>1</v>
      </c>
      <c r="AF9" s="20">
        <v>1</v>
      </c>
      <c r="AG9" s="20">
        <v>1</v>
      </c>
      <c r="AH9" s="20">
        <v>1</v>
      </c>
      <c r="AI9" s="19"/>
      <c r="AJ9" s="20">
        <v>1</v>
      </c>
      <c r="AK9" s="20">
        <v>1</v>
      </c>
      <c r="AL9" s="20">
        <v>1</v>
      </c>
      <c r="AM9" s="20">
        <v>1</v>
      </c>
      <c r="AN9" s="20">
        <v>0</v>
      </c>
      <c r="AP9" t="str">
        <f t="shared" si="5"/>
        <v>15,</v>
      </c>
      <c r="AQ9" t="str">
        <f t="shared" si="6"/>
        <v>31,</v>
      </c>
      <c r="AR9" t="str">
        <f t="shared" si="7"/>
        <v>30,</v>
      </c>
      <c r="AT9" s="31"/>
      <c r="AU9" s="31"/>
      <c r="AV9" s="31"/>
      <c r="AW9" s="31"/>
      <c r="AX9" s="31"/>
      <c r="AY9" s="31"/>
      <c r="AZ9" s="26"/>
    </row>
    <row r="10" spans="2:54" ht="11.25" customHeight="1" x14ac:dyDescent="0.25">
      <c r="B10" s="18">
        <v>1</v>
      </c>
      <c r="C10" s="18">
        <v>1</v>
      </c>
      <c r="D10" s="18">
        <v>1</v>
      </c>
      <c r="E10" s="18">
        <v>1</v>
      </c>
      <c r="F10" s="18">
        <v>1</v>
      </c>
      <c r="G10" s="19"/>
      <c r="H10" s="18">
        <f t="shared" si="8"/>
        <v>1</v>
      </c>
      <c r="I10" s="18">
        <f t="shared" si="8"/>
        <v>1</v>
      </c>
      <c r="J10" s="18">
        <f t="shared" si="8"/>
        <v>1</v>
      </c>
      <c r="K10" s="18">
        <f t="shared" si="8"/>
        <v>1</v>
      </c>
      <c r="L10" s="18">
        <f t="shared" si="8"/>
        <v>1</v>
      </c>
      <c r="M10" s="19"/>
      <c r="N10" s="18">
        <v>1</v>
      </c>
      <c r="O10" s="18">
        <v>1</v>
      </c>
      <c r="P10" s="18">
        <v>1</v>
      </c>
      <c r="Q10" s="18">
        <v>1</v>
      </c>
      <c r="R10" s="18">
        <v>1</v>
      </c>
      <c r="T10" t="str">
        <f>CONCATENATE("B",X10,Y10,Z10,AA10,AB10)</f>
        <v>B11111</v>
      </c>
      <c r="U10" t="str">
        <f>CONCATENATE("B",AD10,AE10,AF10,AG10,AH10)</f>
        <v>B10001</v>
      </c>
      <c r="V10" t="str">
        <f>CONCATENATE("B",AJ10,AK10,AL10,AM10,AN10)</f>
        <v>B11111</v>
      </c>
      <c r="X10" s="21">
        <v>1</v>
      </c>
      <c r="Y10" s="21">
        <v>1</v>
      </c>
      <c r="Z10" s="21">
        <v>1</v>
      </c>
      <c r="AA10" s="21">
        <v>1</v>
      </c>
      <c r="AB10" s="21">
        <v>1</v>
      </c>
      <c r="AC10" s="19"/>
      <c r="AD10" s="20">
        <v>1</v>
      </c>
      <c r="AE10" s="20">
        <v>0</v>
      </c>
      <c r="AF10" s="20">
        <v>0</v>
      </c>
      <c r="AG10" s="20">
        <v>0</v>
      </c>
      <c r="AH10" s="20">
        <v>1</v>
      </c>
      <c r="AI10" s="19"/>
      <c r="AJ10" s="20">
        <v>1</v>
      </c>
      <c r="AK10" s="20">
        <v>1</v>
      </c>
      <c r="AL10" s="20">
        <v>1</v>
      </c>
      <c r="AM10" s="20">
        <v>1</v>
      </c>
      <c r="AN10" s="20">
        <v>1</v>
      </c>
      <c r="AP10" t="str">
        <f>CONCATENATE(IF(AB10+AA10*2+Z10*4+Y10*8+X10*16=0,32,AB10+AA10*2+Z10*4+Y10*8+X10*16),)</f>
        <v>31</v>
      </c>
      <c r="AQ10" t="str">
        <f>CONCATENATE(IF(AH10+AG10*2+AF10*4+AE10*8+AD10*16=0,32,AH10+AG10*2+AF10*4+AE10*8+AD10*16))</f>
        <v>17</v>
      </c>
      <c r="AR10" t="str">
        <f>CONCATENATE(IF(AN10+AM10*2+AL10*4+AK10*8+AJ10*16=0,32,AN10+AM10*2+AL10*4+AK10*8+AJ10*16))</f>
        <v>31</v>
      </c>
    </row>
    <row r="11" spans="2:54" ht="11.25" customHeight="1" x14ac:dyDescent="0.25"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T11" s="8">
        <v>4</v>
      </c>
      <c r="U11" s="5">
        <v>5</v>
      </c>
      <c r="V11" s="5">
        <v>6</v>
      </c>
      <c r="X11" s="30">
        <v>4</v>
      </c>
      <c r="Y11" s="30"/>
      <c r="Z11" s="30"/>
      <c r="AA11" s="30"/>
      <c r="AB11" s="30"/>
      <c r="AC11" s="19"/>
      <c r="AD11" s="30">
        <v>5</v>
      </c>
      <c r="AE11" s="30"/>
      <c r="AF11" s="30"/>
      <c r="AG11" s="30"/>
      <c r="AH11" s="30"/>
      <c r="AI11" s="19"/>
      <c r="AJ11" s="30">
        <v>6</v>
      </c>
      <c r="AK11" s="30"/>
      <c r="AL11" s="30"/>
      <c r="AM11" s="30"/>
      <c r="AN11" s="30"/>
      <c r="AP11" s="8">
        <v>4</v>
      </c>
      <c r="AQ11" s="5">
        <v>5</v>
      </c>
      <c r="AR11" s="5">
        <v>6</v>
      </c>
      <c r="AT11" t="s">
        <v>24</v>
      </c>
    </row>
    <row r="12" spans="2:54" ht="11.25" customHeight="1" x14ac:dyDescent="0.25">
      <c r="B12" s="18">
        <v>1</v>
      </c>
      <c r="C12" s="18">
        <v>1</v>
      </c>
      <c r="D12" s="18">
        <v>1</v>
      </c>
      <c r="E12" s="18">
        <v>1</v>
      </c>
      <c r="F12" s="18">
        <v>1</v>
      </c>
      <c r="G12" s="19"/>
      <c r="H12" s="18">
        <v>0</v>
      </c>
      <c r="I12" s="18">
        <v>0</v>
      </c>
      <c r="J12" s="18">
        <v>0</v>
      </c>
      <c r="K12" s="18">
        <v>0</v>
      </c>
      <c r="L12" s="18">
        <v>0</v>
      </c>
      <c r="M12" s="19"/>
      <c r="N12" s="18">
        <v>1</v>
      </c>
      <c r="O12" s="18">
        <v>1</v>
      </c>
      <c r="P12" s="18">
        <v>1</v>
      </c>
      <c r="Q12" s="18">
        <v>1</v>
      </c>
      <c r="R12" s="18">
        <v>1</v>
      </c>
      <c r="T12" t="str">
        <f t="shared" ref="T12:T18" si="9">CONCATENATE("B",X12,Y12,Z12,AA12,AB12,",")</f>
        <v>B11111,</v>
      </c>
      <c r="U12" t="str">
        <f t="shared" ref="U12:U18" si="10">CONCATENATE("B",AD12,AE12,AF12,AG12,AH12,",")</f>
        <v>B00000,</v>
      </c>
      <c r="V12" t="str">
        <f t="shared" ref="V12:V18" si="11">CONCATENATE("B",AJ12,AK12,AL12,AM12,AN12,",")</f>
        <v>B11111,</v>
      </c>
      <c r="X12" s="21">
        <v>1</v>
      </c>
      <c r="Y12" s="21">
        <v>1</v>
      </c>
      <c r="Z12" s="21">
        <v>1</v>
      </c>
      <c r="AA12" s="21">
        <v>1</v>
      </c>
      <c r="AB12" s="21">
        <v>1</v>
      </c>
      <c r="AC12" s="19"/>
      <c r="AD12" s="20">
        <v>0</v>
      </c>
      <c r="AE12" s="20">
        <v>0</v>
      </c>
      <c r="AF12" s="20">
        <v>0</v>
      </c>
      <c r="AG12" s="20">
        <v>0</v>
      </c>
      <c r="AH12" s="20">
        <v>0</v>
      </c>
      <c r="AI12" s="19"/>
      <c r="AJ12" s="20">
        <v>1</v>
      </c>
      <c r="AK12" s="20">
        <v>1</v>
      </c>
      <c r="AL12" s="20">
        <v>1</v>
      </c>
      <c r="AM12" s="20">
        <v>1</v>
      </c>
      <c r="AN12" s="20">
        <v>1</v>
      </c>
      <c r="AP12" t="str">
        <f t="shared" ref="AP12:AP18" si="12">CONCATENATE(IF(AB12+AA12*2+Z12*4+Y12*8+X12*16=0,32,AB12+AA12*2+Z12*4+Y12*8+X12*16),",")</f>
        <v>31,</v>
      </c>
      <c r="AQ12" t="str">
        <f t="shared" ref="AQ12:AQ18" si="13">CONCATENATE(IF(AH12+AG12*2+AF12*4+AE12*8+AD12*16=0,32,AH12+AG12*2+AF12*4+AE12*8+AD12*16),",")</f>
        <v>32,</v>
      </c>
      <c r="AR12" t="str">
        <f t="shared" ref="AR12:AR18" si="14">CONCATENATE(IF(AN12+AM12*2+AL12*4+AK12*8+AJ12*16=0,32,AN12+AM12*2+AL12*4+AK12*8+AJ12*16),",")</f>
        <v>31,</v>
      </c>
      <c r="AT12" t="s">
        <v>25</v>
      </c>
    </row>
    <row r="13" spans="2:54" ht="11.25" customHeight="1" x14ac:dyDescent="0.25">
      <c r="B13" s="18">
        <v>1</v>
      </c>
      <c r="C13" s="18">
        <v>1</v>
      </c>
      <c r="D13" s="18">
        <v>1</v>
      </c>
      <c r="E13" s="18">
        <v>1</v>
      </c>
      <c r="F13" s="18">
        <v>1</v>
      </c>
      <c r="G13" s="19"/>
      <c r="H13" s="18">
        <v>0</v>
      </c>
      <c r="I13" s="18">
        <v>0</v>
      </c>
      <c r="J13" s="18">
        <v>0</v>
      </c>
      <c r="K13" s="18">
        <v>0</v>
      </c>
      <c r="L13" s="18">
        <v>0</v>
      </c>
      <c r="M13" s="19"/>
      <c r="N13" s="18">
        <v>1</v>
      </c>
      <c r="O13" s="18">
        <v>1</v>
      </c>
      <c r="P13" s="18">
        <v>1</v>
      </c>
      <c r="Q13" s="18">
        <v>1</v>
      </c>
      <c r="R13" s="18">
        <v>1</v>
      </c>
      <c r="T13" t="str">
        <f t="shared" si="9"/>
        <v>B11111,</v>
      </c>
      <c r="U13" t="str">
        <f t="shared" si="10"/>
        <v>B00000,</v>
      </c>
      <c r="V13" t="str">
        <f t="shared" si="11"/>
        <v>B11111,</v>
      </c>
      <c r="X13" s="21">
        <v>1</v>
      </c>
      <c r="Y13" s="21">
        <v>1</v>
      </c>
      <c r="Z13" s="21">
        <v>1</v>
      </c>
      <c r="AA13" s="21">
        <v>1</v>
      </c>
      <c r="AB13" s="21">
        <v>1</v>
      </c>
      <c r="AC13" s="19"/>
      <c r="AD13" s="20">
        <v>0</v>
      </c>
      <c r="AE13" s="20">
        <v>0</v>
      </c>
      <c r="AF13" s="20">
        <v>0</v>
      </c>
      <c r="AG13" s="20">
        <v>0</v>
      </c>
      <c r="AH13" s="20">
        <v>0</v>
      </c>
      <c r="AI13" s="19"/>
      <c r="AJ13" s="20">
        <v>1</v>
      </c>
      <c r="AK13" s="20">
        <v>1</v>
      </c>
      <c r="AL13" s="20">
        <v>1</v>
      </c>
      <c r="AM13" s="20">
        <v>1</v>
      </c>
      <c r="AN13" s="20">
        <v>1</v>
      </c>
      <c r="AP13" t="str">
        <f t="shared" si="12"/>
        <v>31,</v>
      </c>
      <c r="AQ13" t="str">
        <f t="shared" si="13"/>
        <v>32,</v>
      </c>
      <c r="AR13" t="str">
        <f t="shared" si="14"/>
        <v>31,</v>
      </c>
    </row>
    <row r="14" spans="2:54" ht="11.25" customHeight="1" x14ac:dyDescent="0.25">
      <c r="B14" s="18">
        <v>1</v>
      </c>
      <c r="C14" s="18">
        <v>1</v>
      </c>
      <c r="D14" s="18">
        <v>1</v>
      </c>
      <c r="E14" s="18">
        <v>1</v>
      </c>
      <c r="F14" s="18">
        <v>1</v>
      </c>
      <c r="G14" s="19"/>
      <c r="H14" s="18">
        <v>0</v>
      </c>
      <c r="I14" s="18">
        <v>0</v>
      </c>
      <c r="J14" s="18">
        <v>0</v>
      </c>
      <c r="K14" s="18">
        <v>0</v>
      </c>
      <c r="L14" s="18">
        <v>0</v>
      </c>
      <c r="M14" s="19"/>
      <c r="N14" s="18">
        <v>1</v>
      </c>
      <c r="O14" s="18">
        <v>1</v>
      </c>
      <c r="P14" s="18">
        <v>1</v>
      </c>
      <c r="Q14" s="18">
        <v>1</v>
      </c>
      <c r="R14" s="18">
        <v>1</v>
      </c>
      <c r="T14" t="str">
        <f t="shared" si="9"/>
        <v>B11111,</v>
      </c>
      <c r="U14" t="str">
        <f t="shared" si="10"/>
        <v>B00000,</v>
      </c>
      <c r="V14" t="str">
        <f t="shared" si="11"/>
        <v>B11111,</v>
      </c>
      <c r="X14" s="21">
        <v>1</v>
      </c>
      <c r="Y14" s="21">
        <v>1</v>
      </c>
      <c r="Z14" s="21">
        <v>1</v>
      </c>
      <c r="AA14" s="21">
        <v>1</v>
      </c>
      <c r="AB14" s="21">
        <v>1</v>
      </c>
      <c r="AC14" s="19"/>
      <c r="AD14" s="20">
        <v>0</v>
      </c>
      <c r="AE14" s="20">
        <v>0</v>
      </c>
      <c r="AF14" s="20">
        <v>0</v>
      </c>
      <c r="AG14" s="20">
        <v>0</v>
      </c>
      <c r="AH14" s="20">
        <v>0</v>
      </c>
      <c r="AI14" s="19"/>
      <c r="AJ14" s="20">
        <v>1</v>
      </c>
      <c r="AK14" s="20">
        <v>1</v>
      </c>
      <c r="AL14" s="20">
        <v>1</v>
      </c>
      <c r="AM14" s="20">
        <v>1</v>
      </c>
      <c r="AN14" s="20">
        <v>1</v>
      </c>
      <c r="AP14" t="str">
        <f t="shared" si="12"/>
        <v>31,</v>
      </c>
      <c r="AQ14" t="str">
        <f t="shared" si="13"/>
        <v>32,</v>
      </c>
      <c r="AR14" t="str">
        <f t="shared" si="14"/>
        <v>31,</v>
      </c>
      <c r="AT14" s="31" t="s">
        <v>34</v>
      </c>
      <c r="AU14" s="31"/>
      <c r="AV14" s="31"/>
      <c r="AW14" s="31"/>
      <c r="AX14" s="31"/>
      <c r="AY14" s="31"/>
    </row>
    <row r="15" spans="2:54" ht="11.25" customHeight="1" x14ac:dyDescent="0.25">
      <c r="B15" s="18">
        <v>1</v>
      </c>
      <c r="C15" s="18">
        <v>1</v>
      </c>
      <c r="D15" s="18">
        <v>1</v>
      </c>
      <c r="E15" s="18">
        <v>1</v>
      </c>
      <c r="F15" s="18">
        <v>1</v>
      </c>
      <c r="G15" s="19"/>
      <c r="H15" s="18">
        <v>0</v>
      </c>
      <c r="I15" s="18">
        <v>0</v>
      </c>
      <c r="J15" s="18">
        <v>0</v>
      </c>
      <c r="K15" s="18">
        <v>0</v>
      </c>
      <c r="L15" s="18">
        <v>0</v>
      </c>
      <c r="M15" s="19"/>
      <c r="N15" s="18">
        <v>1</v>
      </c>
      <c r="O15" s="18">
        <v>1</v>
      </c>
      <c r="P15" s="18">
        <v>1</v>
      </c>
      <c r="Q15" s="18">
        <v>1</v>
      </c>
      <c r="R15" s="18">
        <v>1</v>
      </c>
      <c r="S15" s="37"/>
      <c r="T15" t="str">
        <f t="shared" si="9"/>
        <v>B11111,</v>
      </c>
      <c r="U15" t="str">
        <f t="shared" si="10"/>
        <v>B00000,</v>
      </c>
      <c r="V15" t="str">
        <f t="shared" si="11"/>
        <v>B11111,</v>
      </c>
      <c r="X15" s="21">
        <v>1</v>
      </c>
      <c r="Y15" s="21">
        <v>1</v>
      </c>
      <c r="Z15" s="21">
        <v>1</v>
      </c>
      <c r="AA15" s="21">
        <v>1</v>
      </c>
      <c r="AB15" s="21">
        <v>1</v>
      </c>
      <c r="AC15" s="19"/>
      <c r="AD15" s="20">
        <v>0</v>
      </c>
      <c r="AE15" s="20">
        <v>0</v>
      </c>
      <c r="AF15" s="20">
        <v>0</v>
      </c>
      <c r="AG15" s="20">
        <v>0</v>
      </c>
      <c r="AH15" s="20">
        <v>0</v>
      </c>
      <c r="AI15" s="19"/>
      <c r="AJ15" s="20">
        <v>1</v>
      </c>
      <c r="AK15" s="20">
        <v>1</v>
      </c>
      <c r="AL15" s="20">
        <v>1</v>
      </c>
      <c r="AM15" s="20">
        <v>1</v>
      </c>
      <c r="AN15" s="20">
        <v>1</v>
      </c>
      <c r="AP15" t="str">
        <f t="shared" si="12"/>
        <v>31,</v>
      </c>
      <c r="AQ15" t="str">
        <f t="shared" si="13"/>
        <v>32,</v>
      </c>
      <c r="AR15" t="str">
        <f t="shared" si="14"/>
        <v>31,</v>
      </c>
      <c r="AT15" s="31"/>
      <c r="AU15" s="31"/>
      <c r="AV15" s="31"/>
      <c r="AW15" s="31"/>
      <c r="AX15" s="31"/>
      <c r="AY15" s="31"/>
    </row>
    <row r="16" spans="2:54" ht="11.25" customHeight="1" x14ac:dyDescent="0.25">
      <c r="B16" s="18">
        <v>1</v>
      </c>
      <c r="C16" s="18">
        <v>1</v>
      </c>
      <c r="D16" s="18">
        <v>1</v>
      </c>
      <c r="E16" s="18">
        <v>1</v>
      </c>
      <c r="F16" s="18">
        <v>1</v>
      </c>
      <c r="G16" s="19"/>
      <c r="H16" s="18">
        <f t="shared" ref="H12:L19" si="15">IF($AU$4=1,X7,IF($AU$4=2,AD7,IF($AU$4=3,AJ7,IF($AU$4=4,X16,IF($AU$4=5,AD16,IF($AU$4=6,AJ16,IF($AU$4=7,X25,IF($AU$4=8,AD25,IF($AU$4="b",1,IF($AU$4="w",0,IF($AU$4=9,AJ25,"")))))))))))</f>
        <v>1</v>
      </c>
      <c r="I16" s="18">
        <f t="shared" si="15"/>
        <v>0</v>
      </c>
      <c r="J16" s="18">
        <f t="shared" si="15"/>
        <v>0</v>
      </c>
      <c r="K16" s="18">
        <f t="shared" si="15"/>
        <v>0</v>
      </c>
      <c r="L16" s="18">
        <f t="shared" si="15"/>
        <v>0</v>
      </c>
      <c r="M16" s="19"/>
      <c r="N16" s="18">
        <v>1</v>
      </c>
      <c r="O16" s="18">
        <v>1</v>
      </c>
      <c r="P16" s="18">
        <v>1</v>
      </c>
      <c r="Q16" s="18">
        <v>1</v>
      </c>
      <c r="R16" s="18">
        <v>1</v>
      </c>
      <c r="T16" t="str">
        <f t="shared" si="9"/>
        <v>B11111,</v>
      </c>
      <c r="U16" t="str">
        <f t="shared" si="10"/>
        <v>B11111,</v>
      </c>
      <c r="V16" t="str">
        <f t="shared" si="11"/>
        <v>B11111,</v>
      </c>
      <c r="X16" s="21">
        <v>1</v>
      </c>
      <c r="Y16" s="21">
        <v>1</v>
      </c>
      <c r="Z16" s="21">
        <v>1</v>
      </c>
      <c r="AA16" s="21">
        <v>1</v>
      </c>
      <c r="AB16" s="21">
        <v>1</v>
      </c>
      <c r="AC16" s="19"/>
      <c r="AD16" s="20">
        <v>1</v>
      </c>
      <c r="AE16" s="20">
        <v>1</v>
      </c>
      <c r="AF16" s="20">
        <v>1</v>
      </c>
      <c r="AG16" s="20">
        <v>1</v>
      </c>
      <c r="AH16" s="20">
        <v>1</v>
      </c>
      <c r="AI16" s="19"/>
      <c r="AJ16" s="20">
        <v>1</v>
      </c>
      <c r="AK16" s="20">
        <v>1</v>
      </c>
      <c r="AL16" s="20">
        <v>1</v>
      </c>
      <c r="AM16" s="20">
        <v>1</v>
      </c>
      <c r="AN16" s="20">
        <v>1</v>
      </c>
      <c r="AP16" t="str">
        <f t="shared" si="12"/>
        <v>31,</v>
      </c>
      <c r="AQ16" t="str">
        <f t="shared" si="13"/>
        <v>31,</v>
      </c>
      <c r="AR16" t="str">
        <f t="shared" si="14"/>
        <v>31,</v>
      </c>
      <c r="AT16" s="31"/>
      <c r="AU16" s="31"/>
      <c r="AV16" s="31"/>
      <c r="AW16" s="31"/>
      <c r="AX16" s="31"/>
      <c r="AY16" s="31"/>
    </row>
    <row r="17" spans="2:51" ht="11.25" customHeight="1" x14ac:dyDescent="0.25">
      <c r="B17" s="18">
        <v>1</v>
      </c>
      <c r="C17" s="18">
        <v>1</v>
      </c>
      <c r="D17" s="18">
        <v>1</v>
      </c>
      <c r="E17" s="18">
        <v>1</v>
      </c>
      <c r="F17" s="18">
        <v>1</v>
      </c>
      <c r="G17" s="19"/>
      <c r="H17" s="18">
        <f t="shared" si="15"/>
        <v>1</v>
      </c>
      <c r="I17" s="18">
        <f t="shared" si="15"/>
        <v>1</v>
      </c>
      <c r="J17" s="18">
        <f t="shared" si="15"/>
        <v>1</v>
      </c>
      <c r="K17" s="18">
        <f t="shared" si="15"/>
        <v>0</v>
      </c>
      <c r="L17" s="18">
        <f t="shared" si="15"/>
        <v>0</v>
      </c>
      <c r="M17" s="19"/>
      <c r="N17" s="18">
        <v>1</v>
      </c>
      <c r="O17" s="18">
        <v>1</v>
      </c>
      <c r="P17" s="18">
        <v>1</v>
      </c>
      <c r="Q17" s="18">
        <v>1</v>
      </c>
      <c r="R17" s="18">
        <v>1</v>
      </c>
      <c r="T17" t="str">
        <f t="shared" si="9"/>
        <v>B11111,</v>
      </c>
      <c r="U17" t="str">
        <f t="shared" si="10"/>
        <v>B11111,</v>
      </c>
      <c r="V17" t="str">
        <f t="shared" si="11"/>
        <v>B11111,</v>
      </c>
      <c r="X17" s="21">
        <v>1</v>
      </c>
      <c r="Y17" s="21">
        <v>1</v>
      </c>
      <c r="Z17" s="21">
        <v>1</v>
      </c>
      <c r="AA17" s="21">
        <v>1</v>
      </c>
      <c r="AB17" s="21">
        <v>1</v>
      </c>
      <c r="AC17" s="19"/>
      <c r="AD17" s="20">
        <v>1</v>
      </c>
      <c r="AE17" s="20">
        <v>1</v>
      </c>
      <c r="AF17" s="20">
        <v>1</v>
      </c>
      <c r="AG17" s="20">
        <v>1</v>
      </c>
      <c r="AH17" s="20">
        <v>1</v>
      </c>
      <c r="AI17" s="19"/>
      <c r="AJ17" s="20">
        <v>1</v>
      </c>
      <c r="AK17" s="20">
        <v>1</v>
      </c>
      <c r="AL17" s="20">
        <v>1</v>
      </c>
      <c r="AM17" s="20">
        <v>1</v>
      </c>
      <c r="AN17" s="20">
        <v>1</v>
      </c>
      <c r="AP17" t="str">
        <f t="shared" si="12"/>
        <v>31,</v>
      </c>
      <c r="AQ17" t="str">
        <f t="shared" si="13"/>
        <v>31,</v>
      </c>
      <c r="AR17" t="str">
        <f t="shared" si="14"/>
        <v>31,</v>
      </c>
      <c r="AT17" s="31"/>
      <c r="AU17" s="31"/>
      <c r="AV17" s="31"/>
      <c r="AW17" s="31"/>
      <c r="AX17" s="31"/>
      <c r="AY17" s="31"/>
    </row>
    <row r="18" spans="2:51" ht="11.25" customHeight="1" x14ac:dyDescent="0.25">
      <c r="B18" s="18">
        <v>1</v>
      </c>
      <c r="C18" s="18">
        <v>1</v>
      </c>
      <c r="D18" s="18">
        <v>1</v>
      </c>
      <c r="E18" s="18">
        <v>1</v>
      </c>
      <c r="F18" s="18">
        <v>1</v>
      </c>
      <c r="G18" s="19"/>
      <c r="H18" s="18">
        <f t="shared" si="15"/>
        <v>1</v>
      </c>
      <c r="I18" s="18">
        <f t="shared" si="15"/>
        <v>1</v>
      </c>
      <c r="J18" s="18">
        <f t="shared" si="15"/>
        <v>1</v>
      </c>
      <c r="K18" s="18">
        <f t="shared" si="15"/>
        <v>1</v>
      </c>
      <c r="L18" s="18">
        <f t="shared" si="15"/>
        <v>0</v>
      </c>
      <c r="M18" s="19"/>
      <c r="N18" s="18">
        <v>1</v>
      </c>
      <c r="O18" s="18">
        <v>1</v>
      </c>
      <c r="P18" s="18">
        <v>1</v>
      </c>
      <c r="Q18" s="18">
        <v>1</v>
      </c>
      <c r="R18" s="18">
        <v>1</v>
      </c>
      <c r="T18" t="str">
        <f t="shared" si="9"/>
        <v>B11111,</v>
      </c>
      <c r="U18" t="str">
        <f t="shared" si="10"/>
        <v>B11111,</v>
      </c>
      <c r="V18" t="str">
        <f t="shared" si="11"/>
        <v>B11111,</v>
      </c>
      <c r="X18" s="21">
        <v>1</v>
      </c>
      <c r="Y18" s="21">
        <v>1</v>
      </c>
      <c r="Z18" s="21">
        <v>1</v>
      </c>
      <c r="AA18" s="21">
        <v>1</v>
      </c>
      <c r="AB18" s="21">
        <v>1</v>
      </c>
      <c r="AC18" s="19"/>
      <c r="AD18" s="20">
        <v>1</v>
      </c>
      <c r="AE18" s="20">
        <v>1</v>
      </c>
      <c r="AF18" s="20">
        <v>1</v>
      </c>
      <c r="AG18" s="20">
        <v>1</v>
      </c>
      <c r="AH18" s="20">
        <v>1</v>
      </c>
      <c r="AI18" s="19"/>
      <c r="AJ18" s="20">
        <v>1</v>
      </c>
      <c r="AK18" s="20">
        <v>1</v>
      </c>
      <c r="AL18" s="20">
        <v>1</v>
      </c>
      <c r="AM18" s="20">
        <v>1</v>
      </c>
      <c r="AN18" s="20">
        <v>1</v>
      </c>
      <c r="AP18" t="str">
        <f t="shared" si="12"/>
        <v>31,</v>
      </c>
      <c r="AQ18" t="str">
        <f t="shared" si="13"/>
        <v>31,</v>
      </c>
      <c r="AR18" t="str">
        <f t="shared" si="14"/>
        <v>31,</v>
      </c>
    </row>
    <row r="19" spans="2:51" ht="11.25" customHeight="1" x14ac:dyDescent="0.25">
      <c r="B19" s="18">
        <v>1</v>
      </c>
      <c r="C19" s="18">
        <v>1</v>
      </c>
      <c r="D19" s="18">
        <v>1</v>
      </c>
      <c r="E19" s="18">
        <v>1</v>
      </c>
      <c r="F19" s="18">
        <v>1</v>
      </c>
      <c r="G19" s="19"/>
      <c r="H19" s="18">
        <f t="shared" si="15"/>
        <v>1</v>
      </c>
      <c r="I19" s="18">
        <f t="shared" si="15"/>
        <v>1</v>
      </c>
      <c r="J19" s="18">
        <f t="shared" si="15"/>
        <v>1</v>
      </c>
      <c r="K19" s="18">
        <f t="shared" si="15"/>
        <v>1</v>
      </c>
      <c r="L19" s="18">
        <f t="shared" si="15"/>
        <v>1</v>
      </c>
      <c r="M19" s="19"/>
      <c r="N19" s="18">
        <v>1</v>
      </c>
      <c r="O19" s="18">
        <v>1</v>
      </c>
      <c r="P19" s="18">
        <v>1</v>
      </c>
      <c r="Q19" s="18">
        <v>1</v>
      </c>
      <c r="R19" s="18">
        <v>1</v>
      </c>
      <c r="T19" t="str">
        <f>CONCATENATE("B",X19,Y19,Z19,AA19,AB19)</f>
        <v>B11111</v>
      </c>
      <c r="U19" t="str">
        <f>CONCATENATE("B",AD19,AE19,AF19,AG19,AH19)</f>
        <v>B11111</v>
      </c>
      <c r="V19" t="str">
        <f>CONCATENATE("B",AJ19,AK19,AL19,AM19,AN19)</f>
        <v>B11111</v>
      </c>
      <c r="X19" s="21">
        <v>1</v>
      </c>
      <c r="Y19" s="21">
        <v>1</v>
      </c>
      <c r="Z19" s="21">
        <v>1</v>
      </c>
      <c r="AA19" s="21">
        <v>1</v>
      </c>
      <c r="AB19" s="21">
        <v>1</v>
      </c>
      <c r="AC19" s="19"/>
      <c r="AD19" s="20">
        <v>1</v>
      </c>
      <c r="AE19" s="20">
        <v>1</v>
      </c>
      <c r="AF19" s="20">
        <v>1</v>
      </c>
      <c r="AG19" s="20">
        <v>1</v>
      </c>
      <c r="AH19" s="20">
        <v>1</v>
      </c>
      <c r="AI19" s="19"/>
      <c r="AJ19" s="20">
        <v>1</v>
      </c>
      <c r="AK19" s="20">
        <v>1</v>
      </c>
      <c r="AL19" s="20">
        <v>1</v>
      </c>
      <c r="AM19" s="20">
        <v>1</v>
      </c>
      <c r="AN19" s="20">
        <v>1</v>
      </c>
      <c r="AP19" t="str">
        <f>CONCATENATE(IF(AB19+AA19*2+Z19*4+Y19*8+X19*16=0,32,AB19+AA19*2+Z19*4+Y19*8+X19*16))</f>
        <v>31</v>
      </c>
      <c r="AQ19" t="str">
        <f>CONCATENATE(IF(AH19+AG19*2+AF19*4+AE19*8+AD19*16=0,32,AH19+AG19*2+AF19*4+AE19*8+AD19*16))</f>
        <v>31</v>
      </c>
      <c r="AR19" t="str">
        <f>CONCATENATE(IF(AN19+AM19*2+AL19*4+AK19*8+AJ19*16=0,32,AN19+AM19*2+AL19*4+AK19*8+AJ19*16))</f>
        <v>31</v>
      </c>
      <c r="AT19" s="31" t="s">
        <v>35</v>
      </c>
      <c r="AU19" s="31"/>
      <c r="AV19" s="31"/>
      <c r="AW19" s="31"/>
      <c r="AX19" s="31"/>
      <c r="AY19" s="31"/>
    </row>
    <row r="20" spans="2:51" ht="11.25" customHeight="1" x14ac:dyDescent="0.25"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T20" s="8">
        <v>7</v>
      </c>
      <c r="U20" s="5">
        <v>8</v>
      </c>
      <c r="V20" s="5">
        <v>9</v>
      </c>
      <c r="X20" s="30">
        <v>7</v>
      </c>
      <c r="Y20" s="30"/>
      <c r="Z20" s="30"/>
      <c r="AA20" s="30"/>
      <c r="AB20" s="30"/>
      <c r="AC20" s="19"/>
      <c r="AD20" s="30">
        <v>8</v>
      </c>
      <c r="AE20" s="30"/>
      <c r="AF20" s="30"/>
      <c r="AG20" s="30"/>
      <c r="AH20" s="30"/>
      <c r="AI20" s="19"/>
      <c r="AJ20" s="30">
        <v>9</v>
      </c>
      <c r="AK20" s="30"/>
      <c r="AL20" s="30"/>
      <c r="AM20" s="30"/>
      <c r="AN20" s="30"/>
      <c r="AP20" s="8">
        <v>7</v>
      </c>
      <c r="AQ20" s="5">
        <v>8</v>
      </c>
      <c r="AR20" s="5">
        <v>9</v>
      </c>
      <c r="AT20" s="31"/>
      <c r="AU20" s="31"/>
      <c r="AV20" s="31"/>
      <c r="AW20" s="31"/>
      <c r="AX20" s="31"/>
      <c r="AY20" s="31"/>
    </row>
    <row r="21" spans="2:51" ht="11.25" customHeight="1" x14ac:dyDescent="0.25">
      <c r="B21" s="18">
        <v>1</v>
      </c>
      <c r="C21" s="18">
        <v>1</v>
      </c>
      <c r="D21" s="18">
        <v>1</v>
      </c>
      <c r="E21" s="18">
        <v>1</v>
      </c>
      <c r="F21" s="18">
        <v>1</v>
      </c>
      <c r="G21" s="19"/>
      <c r="H21" s="20">
        <v>1</v>
      </c>
      <c r="I21" s="20">
        <v>0</v>
      </c>
      <c r="J21" s="20">
        <v>0</v>
      </c>
      <c r="K21" s="20">
        <v>0</v>
      </c>
      <c r="L21" s="20">
        <v>1</v>
      </c>
      <c r="M21" s="19"/>
      <c r="N21" s="18">
        <v>1</v>
      </c>
      <c r="O21" s="18">
        <v>1</v>
      </c>
      <c r="P21" s="18">
        <v>1</v>
      </c>
      <c r="Q21" s="18">
        <v>1</v>
      </c>
      <c r="R21" s="18">
        <v>1</v>
      </c>
      <c r="T21" t="str">
        <f t="shared" ref="T21:T27" si="16">CONCATENATE("B",X21,Y21,Z21,AA21,AB21,",")</f>
        <v>B11111,</v>
      </c>
      <c r="U21" t="str">
        <f t="shared" ref="U21:U27" si="17">CONCATENATE("B",AD21,AE21,AF21,AG21,AH21,",")</f>
        <v>B00000,</v>
      </c>
      <c r="V21" t="str">
        <f t="shared" ref="V21:V27" si="18">CONCATENATE("B",AJ21,AK21,AL21,AM21,AN21,",")</f>
        <v>B11111,</v>
      </c>
      <c r="X21" s="21">
        <v>1</v>
      </c>
      <c r="Y21" s="21">
        <v>1</v>
      </c>
      <c r="Z21" s="21">
        <v>1</v>
      </c>
      <c r="AA21" s="21">
        <v>1</v>
      </c>
      <c r="AB21" s="21">
        <v>1</v>
      </c>
      <c r="AC21" s="19"/>
      <c r="AD21" s="20">
        <v>0</v>
      </c>
      <c r="AE21" s="20">
        <v>0</v>
      </c>
      <c r="AF21" s="20">
        <v>0</v>
      </c>
      <c r="AG21" s="20">
        <v>0</v>
      </c>
      <c r="AH21" s="20">
        <v>0</v>
      </c>
      <c r="AI21" s="19"/>
      <c r="AJ21" s="20">
        <v>1</v>
      </c>
      <c r="AK21" s="20">
        <v>1</v>
      </c>
      <c r="AL21" s="20">
        <v>1</v>
      </c>
      <c r="AM21" s="20">
        <v>1</v>
      </c>
      <c r="AN21" s="20">
        <v>1</v>
      </c>
      <c r="AP21" t="str">
        <f t="shared" ref="AP21:AP27" si="19">CONCATENATE(IF(AB21+AA21*2+Z21*4+Y21*8+X21*16=0,32,AB21+AA21*2+Z21*4+Y21*8+X21*16),",")</f>
        <v>31,</v>
      </c>
      <c r="AQ21" t="str">
        <f t="shared" ref="AQ21:AQ27" si="20">CONCATENATE(IF(AH21+AG21*2+AF21*4+AE21*8+AD21*16=0,32,AH21+AG21*2+AF21*4+AE21*8+AD21*16),",")</f>
        <v>32,</v>
      </c>
      <c r="AR21" t="str">
        <f t="shared" ref="AR21:AR27" si="21">CONCATENATE(IF(AN21+AM21*2+AL21*4+AK21*8+AJ21*16=0,32,AN21+AM21*2+AL21*4+AK21*8+AJ21*16),",")</f>
        <v>31,</v>
      </c>
      <c r="AT21" s="31"/>
      <c r="AU21" s="31"/>
      <c r="AV21" s="31"/>
      <c r="AW21" s="31"/>
      <c r="AX21" s="31"/>
      <c r="AY21" s="31"/>
    </row>
    <row r="22" spans="2:51" ht="11.25" customHeight="1" x14ac:dyDescent="0.25">
      <c r="B22" s="18">
        <v>0</v>
      </c>
      <c r="C22" s="18">
        <v>1</v>
      </c>
      <c r="D22" s="18">
        <v>1</v>
      </c>
      <c r="E22" s="18">
        <v>1</v>
      </c>
      <c r="F22" s="18">
        <v>1</v>
      </c>
      <c r="G22" s="19"/>
      <c r="H22" s="20">
        <v>1</v>
      </c>
      <c r="I22" s="20">
        <v>1</v>
      </c>
      <c r="J22" s="20">
        <v>1</v>
      </c>
      <c r="K22" s="20">
        <v>1</v>
      </c>
      <c r="L22" s="20">
        <v>1</v>
      </c>
      <c r="M22" s="19"/>
      <c r="N22" s="18">
        <v>1</v>
      </c>
      <c r="O22" s="18">
        <v>1</v>
      </c>
      <c r="P22" s="18">
        <v>1</v>
      </c>
      <c r="Q22" s="18">
        <v>1</v>
      </c>
      <c r="R22" s="18">
        <v>0</v>
      </c>
      <c r="T22" t="str">
        <f t="shared" si="16"/>
        <v>B11111,</v>
      </c>
      <c r="U22" t="str">
        <f t="shared" si="17"/>
        <v>B00000,</v>
      </c>
      <c r="V22" t="str">
        <f t="shared" si="18"/>
        <v>B11111,</v>
      </c>
      <c r="X22" s="21">
        <v>1</v>
      </c>
      <c r="Y22" s="21">
        <v>1</v>
      </c>
      <c r="Z22" s="21">
        <v>1</v>
      </c>
      <c r="AA22" s="21">
        <v>1</v>
      </c>
      <c r="AB22" s="21">
        <v>1</v>
      </c>
      <c r="AC22" s="19"/>
      <c r="AD22" s="20">
        <v>0</v>
      </c>
      <c r="AE22" s="20">
        <v>0</v>
      </c>
      <c r="AF22" s="20">
        <v>0</v>
      </c>
      <c r="AG22" s="20">
        <v>0</v>
      </c>
      <c r="AH22" s="20">
        <v>0</v>
      </c>
      <c r="AI22" s="19"/>
      <c r="AJ22" s="20">
        <v>1</v>
      </c>
      <c r="AK22" s="20">
        <v>1</v>
      </c>
      <c r="AL22" s="20">
        <v>1</v>
      </c>
      <c r="AM22" s="20">
        <v>1</v>
      </c>
      <c r="AN22" s="20">
        <v>1</v>
      </c>
      <c r="AP22" t="str">
        <f t="shared" si="19"/>
        <v>31,</v>
      </c>
      <c r="AQ22" t="str">
        <f t="shared" si="20"/>
        <v>32,</v>
      </c>
      <c r="AR22" t="str">
        <f t="shared" si="21"/>
        <v>31,</v>
      </c>
    </row>
    <row r="23" spans="2:51" ht="11.25" customHeight="1" x14ac:dyDescent="0.25">
      <c r="B23" s="18">
        <f t="shared" ref="B21:F28" si="22">IF($AT$5=1,X5,IF($AT$5=2,AD5,IF($AT$5=3,AJ5,IF($AT$5=4,X14,IF($AT$5=5,AD14,IF($AT$5=6,AJ14,IF($AT$5=7,X23,IF($AT$5=8,AD23,IF($AT$5="b",1,IF($AT$5="w",0,IF($AT$5=9,AJ23,"")))))))))))</f>
        <v>0</v>
      </c>
      <c r="C23" s="18">
        <v>1</v>
      </c>
      <c r="D23" s="18">
        <v>1</v>
      </c>
      <c r="E23" s="18">
        <v>1</v>
      </c>
      <c r="F23" s="18">
        <v>1</v>
      </c>
      <c r="G23" s="19"/>
      <c r="H23" s="20">
        <v>1</v>
      </c>
      <c r="I23" s="20">
        <v>1</v>
      </c>
      <c r="J23" s="20">
        <v>1</v>
      </c>
      <c r="K23" s="20">
        <v>1</v>
      </c>
      <c r="L23" s="20">
        <v>1</v>
      </c>
      <c r="M23" s="19"/>
      <c r="N23" s="18">
        <v>1</v>
      </c>
      <c r="O23" s="18">
        <v>1</v>
      </c>
      <c r="P23" s="18">
        <v>1</v>
      </c>
      <c r="Q23" s="18">
        <v>1</v>
      </c>
      <c r="R23" s="18">
        <f t="shared" ref="N21:R28" si="23">IF($AV$5=1,AB5,IF($AV$5=2,AH5,IF($AV$5=3,AN5,IF($AV$5=4,AB14,IF($AV$5=5,AH14,IF($AV$5=6,AN14,IF($AV$5=7,AB23,IF($AV$5=8,AH23,IF($AV$5="b",1,IF($AV$5="w",0,IF($AV$5=9,AN23,"")))))))))))</f>
        <v>1</v>
      </c>
      <c r="T23" t="str">
        <f t="shared" si="16"/>
        <v>B11111,</v>
      </c>
      <c r="U23" t="str">
        <f t="shared" si="17"/>
        <v>B00000,</v>
      </c>
      <c r="V23" t="str">
        <f t="shared" si="18"/>
        <v>B11111,</v>
      </c>
      <c r="X23" s="21">
        <v>1</v>
      </c>
      <c r="Y23" s="21">
        <v>1</v>
      </c>
      <c r="Z23" s="21">
        <v>1</v>
      </c>
      <c r="AA23" s="21">
        <v>1</v>
      </c>
      <c r="AB23" s="21">
        <v>1</v>
      </c>
      <c r="AC23" s="19"/>
      <c r="AD23" s="20">
        <v>0</v>
      </c>
      <c r="AE23" s="20">
        <v>0</v>
      </c>
      <c r="AF23" s="20">
        <v>0</v>
      </c>
      <c r="AG23" s="20">
        <v>0</v>
      </c>
      <c r="AH23" s="20">
        <v>0</v>
      </c>
      <c r="AI23" s="19"/>
      <c r="AJ23" s="20">
        <v>1</v>
      </c>
      <c r="AK23" s="20">
        <v>1</v>
      </c>
      <c r="AL23" s="20">
        <v>1</v>
      </c>
      <c r="AM23" s="20">
        <v>1</v>
      </c>
      <c r="AN23" s="20">
        <v>1</v>
      </c>
      <c r="AP23" t="str">
        <f t="shared" si="19"/>
        <v>31,</v>
      </c>
      <c r="AQ23" t="str">
        <f t="shared" si="20"/>
        <v>32,</v>
      </c>
      <c r="AR23" t="str">
        <f t="shared" si="21"/>
        <v>31,</v>
      </c>
    </row>
    <row r="24" spans="2:51" ht="11.25" customHeight="1" x14ac:dyDescent="0.25">
      <c r="B24" s="18">
        <f t="shared" si="22"/>
        <v>0</v>
      </c>
      <c r="C24" s="18">
        <f t="shared" si="22"/>
        <v>0</v>
      </c>
      <c r="D24" s="18">
        <v>1</v>
      </c>
      <c r="E24" s="18">
        <v>1</v>
      </c>
      <c r="F24" s="18">
        <v>1</v>
      </c>
      <c r="G24" s="19"/>
      <c r="H24" s="20">
        <v>1</v>
      </c>
      <c r="I24" s="20">
        <v>1</v>
      </c>
      <c r="J24" s="20">
        <v>1</v>
      </c>
      <c r="K24" s="20">
        <v>1</v>
      </c>
      <c r="L24" s="20">
        <v>1</v>
      </c>
      <c r="M24" s="19"/>
      <c r="N24" s="18">
        <v>1</v>
      </c>
      <c r="O24" s="18">
        <v>1</v>
      </c>
      <c r="P24" s="18">
        <v>1</v>
      </c>
      <c r="Q24" s="18">
        <f t="shared" si="23"/>
        <v>1</v>
      </c>
      <c r="R24" s="18">
        <f t="shared" si="23"/>
        <v>1</v>
      </c>
      <c r="T24" t="str">
        <f t="shared" si="16"/>
        <v>B11111,</v>
      </c>
      <c r="U24" t="str">
        <f t="shared" si="17"/>
        <v>B00000,</v>
      </c>
      <c r="V24" t="str">
        <f t="shared" si="18"/>
        <v>B11111,</v>
      </c>
      <c r="X24" s="21">
        <v>1</v>
      </c>
      <c r="Y24" s="21">
        <v>1</v>
      </c>
      <c r="Z24" s="21">
        <v>1</v>
      </c>
      <c r="AA24" s="21">
        <v>1</v>
      </c>
      <c r="AB24" s="21">
        <v>1</v>
      </c>
      <c r="AC24" s="19"/>
      <c r="AD24" s="20">
        <v>0</v>
      </c>
      <c r="AE24" s="20">
        <v>0</v>
      </c>
      <c r="AF24" s="20">
        <v>0</v>
      </c>
      <c r="AG24" s="20">
        <v>0</v>
      </c>
      <c r="AH24" s="20">
        <v>0</v>
      </c>
      <c r="AI24" s="19"/>
      <c r="AJ24" s="20">
        <v>1</v>
      </c>
      <c r="AK24" s="20">
        <v>1</v>
      </c>
      <c r="AL24" s="20">
        <v>1</v>
      </c>
      <c r="AM24" s="20">
        <v>1</v>
      </c>
      <c r="AN24" s="20">
        <v>1</v>
      </c>
      <c r="AP24" t="str">
        <f t="shared" si="19"/>
        <v>31,</v>
      </c>
      <c r="AQ24" t="str">
        <f t="shared" si="20"/>
        <v>32,</v>
      </c>
      <c r="AR24" t="str">
        <f t="shared" si="21"/>
        <v>31,</v>
      </c>
    </row>
    <row r="25" spans="2:51" ht="11.25" customHeight="1" x14ac:dyDescent="0.25">
      <c r="B25" s="18">
        <f t="shared" si="22"/>
        <v>1</v>
      </c>
      <c r="C25" s="18">
        <f t="shared" si="22"/>
        <v>1</v>
      </c>
      <c r="D25" s="18">
        <f t="shared" si="22"/>
        <v>1</v>
      </c>
      <c r="E25" s="18">
        <v>1</v>
      </c>
      <c r="F25" s="18">
        <v>1</v>
      </c>
      <c r="G25" s="19"/>
      <c r="H25" s="20">
        <v>1</v>
      </c>
      <c r="I25" s="20">
        <v>1</v>
      </c>
      <c r="J25" s="20">
        <v>1</v>
      </c>
      <c r="K25" s="20">
        <v>1</v>
      </c>
      <c r="L25" s="20">
        <v>1</v>
      </c>
      <c r="M25" s="19"/>
      <c r="N25" s="18">
        <v>1</v>
      </c>
      <c r="O25" s="18">
        <v>1</v>
      </c>
      <c r="P25" s="18">
        <f t="shared" si="23"/>
        <v>1</v>
      </c>
      <c r="Q25" s="18">
        <f t="shared" si="23"/>
        <v>1</v>
      </c>
      <c r="R25" s="18">
        <f t="shared" si="23"/>
        <v>1</v>
      </c>
      <c r="T25" t="str">
        <f t="shared" si="16"/>
        <v>B11111,</v>
      </c>
      <c r="U25" t="str">
        <f t="shared" si="17"/>
        <v>B00000,</v>
      </c>
      <c r="V25" t="str">
        <f t="shared" si="18"/>
        <v>B11111,</v>
      </c>
      <c r="X25" s="21">
        <v>1</v>
      </c>
      <c r="Y25" s="21">
        <v>1</v>
      </c>
      <c r="Z25" s="21">
        <v>1</v>
      </c>
      <c r="AA25" s="21">
        <v>1</v>
      </c>
      <c r="AB25" s="21">
        <v>1</v>
      </c>
      <c r="AC25" s="19"/>
      <c r="AD25" s="20">
        <v>0</v>
      </c>
      <c r="AE25" s="20">
        <v>0</v>
      </c>
      <c r="AF25" s="20">
        <v>0</v>
      </c>
      <c r="AG25" s="20">
        <v>0</v>
      </c>
      <c r="AH25" s="20">
        <v>0</v>
      </c>
      <c r="AI25" s="19"/>
      <c r="AJ25" s="20">
        <v>1</v>
      </c>
      <c r="AK25" s="20">
        <v>1</v>
      </c>
      <c r="AL25" s="20">
        <v>1</v>
      </c>
      <c r="AM25" s="20">
        <v>1</v>
      </c>
      <c r="AN25" s="20">
        <v>1</v>
      </c>
      <c r="AP25" t="str">
        <f t="shared" si="19"/>
        <v>31,</v>
      </c>
      <c r="AQ25" t="str">
        <f t="shared" si="20"/>
        <v>32,</v>
      </c>
      <c r="AR25" t="str">
        <f t="shared" si="21"/>
        <v>31,</v>
      </c>
    </row>
    <row r="26" spans="2:51" ht="11.25" customHeight="1" x14ac:dyDescent="0.25">
      <c r="B26" s="18">
        <f t="shared" si="22"/>
        <v>1</v>
      </c>
      <c r="C26" s="18">
        <f t="shared" si="22"/>
        <v>1</v>
      </c>
      <c r="D26" s="18">
        <f t="shared" si="22"/>
        <v>1</v>
      </c>
      <c r="E26" s="18">
        <f t="shared" si="22"/>
        <v>1</v>
      </c>
      <c r="F26" s="18">
        <v>1</v>
      </c>
      <c r="G26" s="19"/>
      <c r="H26" s="20">
        <v>1</v>
      </c>
      <c r="I26" s="20">
        <v>1</v>
      </c>
      <c r="J26" s="20">
        <v>1</v>
      </c>
      <c r="K26" s="20">
        <v>1</v>
      </c>
      <c r="L26" s="20">
        <v>1</v>
      </c>
      <c r="M26" s="19"/>
      <c r="N26" s="18">
        <v>1</v>
      </c>
      <c r="O26" s="18">
        <f t="shared" si="23"/>
        <v>1</v>
      </c>
      <c r="P26" s="18">
        <f t="shared" si="23"/>
        <v>1</v>
      </c>
      <c r="Q26" s="18">
        <f t="shared" si="23"/>
        <v>1</v>
      </c>
      <c r="R26" s="18">
        <f t="shared" si="23"/>
        <v>1</v>
      </c>
      <c r="T26" t="str">
        <f t="shared" si="16"/>
        <v>B11111,</v>
      </c>
      <c r="U26" t="str">
        <f t="shared" si="17"/>
        <v>B00000,</v>
      </c>
      <c r="V26" t="str">
        <f t="shared" si="18"/>
        <v>B11111,</v>
      </c>
      <c r="X26" s="21">
        <v>1</v>
      </c>
      <c r="Y26" s="21">
        <v>1</v>
      </c>
      <c r="Z26" s="21">
        <v>1</v>
      </c>
      <c r="AA26" s="21">
        <v>1</v>
      </c>
      <c r="AB26" s="21">
        <v>1</v>
      </c>
      <c r="AC26" s="19"/>
      <c r="AD26" s="20">
        <v>0</v>
      </c>
      <c r="AE26" s="20">
        <v>0</v>
      </c>
      <c r="AF26" s="20">
        <v>0</v>
      </c>
      <c r="AG26" s="20">
        <v>0</v>
      </c>
      <c r="AH26" s="20">
        <v>0</v>
      </c>
      <c r="AI26" s="19"/>
      <c r="AJ26" s="20">
        <v>1</v>
      </c>
      <c r="AK26" s="20">
        <v>1</v>
      </c>
      <c r="AL26" s="20">
        <v>1</v>
      </c>
      <c r="AM26" s="20">
        <v>1</v>
      </c>
      <c r="AN26" s="20">
        <v>1</v>
      </c>
      <c r="AP26" t="str">
        <f t="shared" si="19"/>
        <v>31,</v>
      </c>
      <c r="AQ26" t="str">
        <f t="shared" si="20"/>
        <v>32,</v>
      </c>
      <c r="AR26" t="str">
        <f t="shared" si="21"/>
        <v>31,</v>
      </c>
    </row>
    <row r="27" spans="2:51" ht="11.25" customHeight="1" x14ac:dyDescent="0.25">
      <c r="B27" s="18">
        <f t="shared" si="22"/>
        <v>1</v>
      </c>
      <c r="C27" s="18">
        <f t="shared" si="22"/>
        <v>1</v>
      </c>
      <c r="D27" s="18">
        <f t="shared" si="22"/>
        <v>1</v>
      </c>
      <c r="E27" s="18">
        <f t="shared" si="22"/>
        <v>1</v>
      </c>
      <c r="F27" s="18">
        <f t="shared" si="22"/>
        <v>1</v>
      </c>
      <c r="G27" s="19"/>
      <c r="H27" s="20">
        <f t="shared" ref="H21:L28" si="24">IF($AU$5=1,X9,IF($AU$5=2,AD9,IF($AU$5=3,AJ9,IF($AU$5=4,X18,IF($AU$5=5,AD18,IF($AU$5=6,AJ18,IF($AU$5=7,X27,IF($AU$5=8,AD27,IF($AU$5="b",1,IF($AU$5="w",0,IF($AU$5=9,AJ27,"")))))))))))</f>
        <v>1</v>
      </c>
      <c r="I27" s="20">
        <v>1</v>
      </c>
      <c r="J27" s="20">
        <v>1</v>
      </c>
      <c r="K27" s="20">
        <v>1</v>
      </c>
      <c r="L27" s="20">
        <f t="shared" si="24"/>
        <v>0</v>
      </c>
      <c r="M27" s="19"/>
      <c r="N27" s="18">
        <f t="shared" si="23"/>
        <v>1</v>
      </c>
      <c r="O27" s="18">
        <f t="shared" si="23"/>
        <v>1</v>
      </c>
      <c r="P27" s="18">
        <f t="shared" si="23"/>
        <v>1</v>
      </c>
      <c r="Q27" s="18">
        <f t="shared" si="23"/>
        <v>1</v>
      </c>
      <c r="R27" s="18">
        <f t="shared" si="23"/>
        <v>1</v>
      </c>
      <c r="T27" t="str">
        <f t="shared" si="16"/>
        <v>B01110,</v>
      </c>
      <c r="U27" t="str">
        <f t="shared" si="17"/>
        <v>B00000,</v>
      </c>
      <c r="V27" t="str">
        <f t="shared" si="18"/>
        <v>B01110,</v>
      </c>
      <c r="X27" s="21">
        <v>0</v>
      </c>
      <c r="Y27" s="21">
        <v>1</v>
      </c>
      <c r="Z27" s="21">
        <v>1</v>
      </c>
      <c r="AA27" s="21">
        <v>1</v>
      </c>
      <c r="AB27" s="21">
        <v>0</v>
      </c>
      <c r="AC27" s="19"/>
      <c r="AD27" s="20">
        <v>0</v>
      </c>
      <c r="AE27" s="20">
        <v>0</v>
      </c>
      <c r="AF27" s="20">
        <v>0</v>
      </c>
      <c r="AG27" s="20">
        <v>0</v>
      </c>
      <c r="AH27" s="20">
        <v>0</v>
      </c>
      <c r="AI27" s="19"/>
      <c r="AJ27" s="20">
        <v>0</v>
      </c>
      <c r="AK27" s="20">
        <v>1</v>
      </c>
      <c r="AL27" s="20">
        <v>1</v>
      </c>
      <c r="AM27" s="20">
        <v>1</v>
      </c>
      <c r="AN27" s="20">
        <v>0</v>
      </c>
      <c r="AP27" t="str">
        <f t="shared" si="19"/>
        <v>14,</v>
      </c>
      <c r="AQ27" t="str">
        <f t="shared" si="20"/>
        <v>32,</v>
      </c>
      <c r="AR27" t="str">
        <f t="shared" si="21"/>
        <v>14,</v>
      </c>
    </row>
    <row r="28" spans="2:51" ht="11.25" customHeight="1" x14ac:dyDescent="0.25">
      <c r="B28" s="18">
        <f t="shared" si="22"/>
        <v>1</v>
      </c>
      <c r="C28" s="18">
        <f t="shared" si="22"/>
        <v>1</v>
      </c>
      <c r="D28" s="18">
        <f t="shared" si="22"/>
        <v>1</v>
      </c>
      <c r="E28" s="18">
        <f t="shared" si="22"/>
        <v>1</v>
      </c>
      <c r="F28" s="18">
        <f t="shared" si="22"/>
        <v>1</v>
      </c>
      <c r="G28" s="19"/>
      <c r="H28" s="20">
        <f t="shared" si="24"/>
        <v>1</v>
      </c>
      <c r="I28" s="20">
        <f t="shared" si="24"/>
        <v>1</v>
      </c>
      <c r="J28" s="20">
        <v>0</v>
      </c>
      <c r="K28" s="20">
        <f t="shared" si="24"/>
        <v>1</v>
      </c>
      <c r="L28" s="20">
        <f t="shared" si="24"/>
        <v>1</v>
      </c>
      <c r="M28" s="19"/>
      <c r="N28" s="18">
        <f t="shared" si="23"/>
        <v>1</v>
      </c>
      <c r="O28" s="18">
        <f t="shared" si="23"/>
        <v>1</v>
      </c>
      <c r="P28" s="18">
        <f t="shared" si="23"/>
        <v>1</v>
      </c>
      <c r="Q28" s="18">
        <f t="shared" si="23"/>
        <v>1</v>
      </c>
      <c r="R28" s="18">
        <f t="shared" si="23"/>
        <v>1</v>
      </c>
      <c r="T28" t="str">
        <f>CONCATENATE("B",X28,Y28,Z28,AA28,AB28)</f>
        <v>B00000</v>
      </c>
      <c r="U28" t="str">
        <f>CONCATENATE("B",AD28,AE28,AF28,AG28,AH28)</f>
        <v>B00000</v>
      </c>
      <c r="V28" t="str">
        <f>CONCATENATE("B",AJ28,AK28,AL28,AM28,AN28)</f>
        <v>B00000</v>
      </c>
      <c r="X28" s="21">
        <v>0</v>
      </c>
      <c r="Y28" s="21">
        <v>0</v>
      </c>
      <c r="Z28" s="21">
        <v>0</v>
      </c>
      <c r="AA28" s="21">
        <v>0</v>
      </c>
      <c r="AB28" s="21">
        <v>0</v>
      </c>
      <c r="AC28" s="19"/>
      <c r="AD28" s="20">
        <v>0</v>
      </c>
      <c r="AE28" s="20">
        <v>0</v>
      </c>
      <c r="AF28" s="20">
        <v>0</v>
      </c>
      <c r="AG28" s="20">
        <v>0</v>
      </c>
      <c r="AH28" s="20">
        <v>0</v>
      </c>
      <c r="AI28" s="19"/>
      <c r="AJ28" s="20">
        <v>0</v>
      </c>
      <c r="AK28" s="20">
        <v>0</v>
      </c>
      <c r="AL28" s="20">
        <v>0</v>
      </c>
      <c r="AM28" s="20">
        <v>0</v>
      </c>
      <c r="AN28" s="20">
        <v>0</v>
      </c>
      <c r="AP28" t="str">
        <f>CONCATENATE(IF(AB28+AA28*2+Z28*4+Y28*8+X28*16=0,32,AB28+AA28*2+Z28*4+Y28*8+X28*16))</f>
        <v>32</v>
      </c>
      <c r="AQ28" t="str">
        <f>CONCATENATE(IF(AH28+AG28*2+AF28*4+AE28*8+AD28*16=0,32,AH28+AG28*2+AF28*4+AE28*8+AD28*16))</f>
        <v>32</v>
      </c>
      <c r="AR28" t="str">
        <f>CONCATENATE(IF(AN28+AM28*2+AL28*4+AK28*8+AJ28*16=0,32,AN28+AM28*2+AL28*4+AK28*8+AJ28*16))</f>
        <v>32</v>
      </c>
    </row>
    <row r="30" spans="2:51" x14ac:dyDescent="0.25">
      <c r="C30" s="1" t="str">
        <f>"{{"&amp;CHAR(34)&amp;AT3&amp;CHAR(34)&amp;","&amp;CHAR(34)&amp;AU3&amp;CHAR(34)&amp;","&amp;CHAR(34)&amp;AV3&amp;CHAR(34)&amp;"},{"&amp;CHAR(34)&amp;AT4&amp;CHAR(34)&amp;","&amp;CHAR(34)&amp;AU4&amp;CHAR(34)&amp;","&amp;CHAR(34)&amp;AV4&amp;CHAR(34)&amp;"},{"&amp;CHAR(34)&amp;AT5&amp;CHAR(34)&amp;","&amp;CHAR(34)&amp;AU5&amp;CHAR(34)&amp;","&amp;CHAR(34)&amp;AV5&amp;CHAR(34)&amp;"}}"&amp;";"</f>
        <v>{{"1","3","7"},{"w","3","b"},{"5","3","4"}};</v>
      </c>
    </row>
    <row r="31" spans="2:51" x14ac:dyDescent="0.25">
      <c r="C31" s="1" t="str">
        <f>"{{"&amp;AT3&amp;","&amp;AU3&amp;","&amp;AV3&amp;"},{"&amp;AT4&amp;","&amp;AU4&amp;","&amp;AV4&amp;"},{"&amp;AT5&amp;","&amp;AU5&amp;","&amp;AV5&amp;"}}"&amp;";"</f>
        <v>{{1,3,7},{w,3,b},{5,3,4}};</v>
      </c>
    </row>
    <row r="32" spans="2:51" x14ac:dyDescent="0.25">
      <c r="Y32" s="7"/>
      <c r="Z32" s="7"/>
      <c r="AA32" s="7"/>
    </row>
    <row r="33" spans="1:27" x14ac:dyDescent="0.25">
      <c r="Y33" s="7"/>
      <c r="Z33" s="7"/>
      <c r="AA33" s="7"/>
    </row>
    <row r="35" spans="1:27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</row>
    <row r="36" spans="1:27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</row>
    <row r="37" spans="1:27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</row>
    <row r="38" spans="1:27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</row>
  </sheetData>
  <mergeCells count="17">
    <mergeCell ref="X20:AB20"/>
    <mergeCell ref="AD20:AH20"/>
    <mergeCell ref="AJ20:AN20"/>
    <mergeCell ref="B1:R1"/>
    <mergeCell ref="T1:V1"/>
    <mergeCell ref="X1:AN1"/>
    <mergeCell ref="X11:AB11"/>
    <mergeCell ref="AD11:AH11"/>
    <mergeCell ref="AJ11:AN11"/>
    <mergeCell ref="X2:AB2"/>
    <mergeCell ref="AD2:AH2"/>
    <mergeCell ref="AJ2:AN2"/>
    <mergeCell ref="AT2:AV2"/>
    <mergeCell ref="AP1:AR1"/>
    <mergeCell ref="AT7:AY9"/>
    <mergeCell ref="AT14:AY17"/>
    <mergeCell ref="AT19:AY21"/>
  </mergeCells>
  <conditionalFormatting sqref="B3:F10 H3:L10 H12:L19 B21:F28 H21:L28 N21:R28 X3:AB10 X12:AB19 X21:AB28 AD21:AH28 AJ21:AN28 AJ3:AN10 AD3:AH10 AD12:AH19 AJ12:AN19 S15 B12:F19 N12:R19 N3:R10">
    <cfRule type="cellIs" dxfId="15" priority="1" operator="equal">
      <formula>0</formula>
    </cfRule>
    <cfRule type="cellIs" dxfId="14" priority="2" operator="equal">
      <formula>1</formula>
    </cfRule>
  </conditionalFormatting>
  <pageMargins left="0.7" right="0.7" top="0.75" bottom="0.75" header="0.3" footer="0.3"/>
  <pageSetup paperSize="9" orientation="portrait" r:id="rId1"/>
  <ignoredErrors>
    <ignoredError sqref="T2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By Boolean</vt:lpstr>
      <vt:lpstr>By Integer</vt:lpstr>
      <vt:lpstr>Clickable</vt:lpstr>
    </vt:vector>
  </TitlesOfParts>
  <Company>EMC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Latt</dc:creator>
  <cp:lastModifiedBy>Theodor Nitu</cp:lastModifiedBy>
  <dcterms:created xsi:type="dcterms:W3CDTF">2014-08-30T17:28:16Z</dcterms:created>
  <dcterms:modified xsi:type="dcterms:W3CDTF">2016-12-05T16:37:23Z</dcterms:modified>
</cp:coreProperties>
</file>